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 Reconciliation" sheetId="1" state="visible" r:id="rId1"/>
    <sheet name="Grace Audit Status" sheetId="2" state="visible" r:id="rId2"/>
    <sheet name="Legend &amp; Method" sheetId="3" state="visible" r:id="rId3"/>
  </sheets>
  <definedNames>
    <definedName name="_xlnm._FilterDatabase" localSheetId="0" hidden="1">'Price Reconciliation'!$A$4:$Q$49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;($#,##0.00);-"/>
    <numFmt numFmtId="165" formatCode="0.00&quot;x&quot;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</fonts>
  <fills count="8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FC7CE"/>
      </patternFill>
    </fill>
    <fill>
      <patternFill patternType="solid">
        <fgColor rgb="00FFFF00"/>
      </patternFill>
    </fill>
    <fill>
      <patternFill patternType="solid">
        <fgColor rgb="00FFEB9C"/>
      </patternFill>
    </fill>
    <fill>
      <patternFill patternType="solid">
        <fgColor rgb="00F3F4F6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164" fontId="4" fillId="3" borderId="1" pivotButton="0" quotePrefix="0" xfId="0"/>
    <xf numFmtId="165" fontId="4" fillId="3" borderId="1" pivotButton="0" quotePrefix="0" xfId="0"/>
    <xf numFmtId="0" fontId="4" fillId="3" borderId="1" applyAlignment="1" pivotButton="0" quotePrefix="0" xfId="0">
      <alignment horizontal="center" wrapText="1"/>
    </xf>
    <xf numFmtId="164" fontId="5" fillId="4" borderId="1" pivotButton="0" quotePrefix="0" xfId="0"/>
    <xf numFmtId="0" fontId="5" fillId="4" borderId="1" pivotButton="0" quotePrefix="0" xfId="0"/>
    <xf numFmtId="0" fontId="4" fillId="5" borderId="1" pivotButton="0" quotePrefix="0" xfId="0"/>
    <xf numFmtId="164" fontId="4" fillId="5" borderId="1" pivotButton="0" quotePrefix="0" xfId="0"/>
    <xf numFmtId="165" fontId="4" fillId="5" borderId="1" pivotButton="0" quotePrefix="0" xfId="0"/>
    <xf numFmtId="0" fontId="4" fillId="5" borderId="1" applyAlignment="1" pivotButton="0" quotePrefix="0" xfId="0">
      <alignment horizontal="center" wrapText="1"/>
    </xf>
    <xf numFmtId="0" fontId="4" fillId="6" borderId="1" pivotButton="0" quotePrefix="0" xfId="0"/>
    <xf numFmtId="164" fontId="4" fillId="6" borderId="1" pivotButton="0" quotePrefix="0" xfId="0"/>
    <xf numFmtId="165" fontId="4" fillId="6" borderId="1" pivotButton="0" quotePrefix="0" xfId="0"/>
    <xf numFmtId="0" fontId="4" fillId="6" borderId="1" applyAlignment="1" pivotButton="0" quotePrefix="0" xfId="0">
      <alignment horizontal="center" wrapText="1"/>
    </xf>
    <xf numFmtId="0" fontId="6" fillId="0" borderId="0" pivotButton="0" quotePrefix="0" xfId="0"/>
    <xf numFmtId="164" fontId="5" fillId="4" borderId="0" pivotButton="0" quotePrefix="0" xfId="0"/>
    <xf numFmtId="0" fontId="5" fillId="4" borderId="0" pivotButton="0" quotePrefix="0" xfId="0"/>
    <xf numFmtId="0" fontId="4" fillId="0" borderId="0" pivotButton="0" quotePrefix="0" xfId="0"/>
    <xf numFmtId="164" fontId="6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6" fillId="0" borderId="1" pivotButton="0" quotePrefix="0" xfId="0"/>
    <xf numFmtId="0" fontId="6" fillId="7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0" fontId="4" fillId="0" borderId="0" applyAlignment="1" pivotButton="0" quotePrefix="0" xfId="0">
      <alignment vertical="top" wrapText="1"/>
    </xf>
    <xf numFmtId="0" fontId="4" fillId="3" borderId="0" pivotButton="0" quotePrefix="0" xfId="0"/>
    <xf numFmtId="0" fontId="4" fillId="5" borderId="0" pivotButton="0" quotePrefix="0" xfId="0"/>
    <xf numFmtId="0" fontId="4" fillId="6" borderId="0" pivotButton="0" quotePrefix="0" xfId="0"/>
    <xf numFmtId="0" fontId="4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42" customWidth="1" min="3" max="3"/>
    <col width="13" customWidth="1" min="4" max="4"/>
    <col width="12" customWidth="1" min="5" max="5"/>
    <col width="14" customWidth="1" min="6" max="6"/>
    <col width="20" customWidth="1" min="7" max="7"/>
    <col width="9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2" customWidth="1" min="14" max="14"/>
    <col width="16" customWidth="1" min="15" max="15"/>
    <col width="17" customWidth="1" min="16" max="16"/>
    <col width="42" customWidth="1" min="17" max="17"/>
  </cols>
  <sheetData>
    <row r="1">
      <c r="A1" s="1" t="inlineStr">
        <is>
          <t>Volume-Price Reconciliation — 12-piece price exceeds 1-piece price</t>
        </is>
      </c>
    </row>
    <row r="2" ht="28" customHeight="1">
      <c r="A2" s="2" t="inlineStr">
        <is>
          <t>Every row below is live on production today. Grace quotes these prices accurately, so a customer asking for volume pricing is currently told the 12-piece price is HIGHER than buying one. Enter the corrected 12-piece price and a decision in the yellow columns.</t>
        </is>
      </c>
    </row>
    <row r="4" ht="30" customHeight="1">
      <c r="A4" s="3" t="inlineStr">
        <is>
          <t>Grace SKU</t>
        </is>
      </c>
      <c r="B4" s="3" t="inlineStr">
        <is>
          <t>Website SKU</t>
        </is>
      </c>
      <c r="C4" s="3" t="inlineStr">
        <is>
          <t>Item name</t>
        </is>
      </c>
      <c r="D4" s="3" t="inlineStr">
        <is>
          <t>Family</t>
        </is>
      </c>
      <c r="E4" s="3" t="inlineStr">
        <is>
          <t>Category</t>
        </is>
      </c>
      <c r="F4" s="3" t="inlineStr">
        <is>
          <t>Capacity</t>
        </is>
      </c>
      <c r="G4" s="3" t="inlineStr">
        <is>
          <t>Applicator</t>
        </is>
      </c>
      <c r="H4" s="3" t="inlineStr">
        <is>
          <t>Case qty</t>
        </is>
      </c>
      <c r="I4" s="3" t="inlineStr">
        <is>
          <t>1 pc ($)</t>
        </is>
      </c>
      <c r="J4" s="3" t="inlineStr">
        <is>
          <t>10 pc ($)</t>
        </is>
      </c>
      <c r="K4" s="3" t="inlineStr">
        <is>
          <t>12 pc ($)</t>
        </is>
      </c>
      <c r="L4" s="3" t="inlineStr">
        <is>
          <t>Delta ($)</t>
        </is>
      </c>
      <c r="M4" s="3" t="inlineStr">
        <is>
          <t>Multiple</t>
        </is>
      </c>
      <c r="N4" s="3" t="inlineStr">
        <is>
          <t>Diagnosis</t>
        </is>
      </c>
      <c r="O4" s="3" t="inlineStr">
        <is>
          <t>Suggested 12 pc ($)</t>
        </is>
      </c>
      <c r="P4" s="3" t="inlineStr">
        <is>
          <t>CONFIRMED 12 pc ($)</t>
        </is>
      </c>
      <c r="Q4" s="3" t="inlineStr">
        <is>
          <t>DECISION / NOTES (Abbas)</t>
        </is>
      </c>
    </row>
    <row r="5">
      <c r="A5" s="4" t="inlineStr">
        <is>
          <t>CMP-ROC-WHT-03</t>
        </is>
      </c>
      <c r="B5" s="4" t="inlineStr">
        <is>
          <t>CPWhite1Oz</t>
        </is>
      </c>
      <c r="C5" s="4" t="inlineStr">
        <is>
          <t>Roll-On Cap White</t>
        </is>
      </c>
      <c r="D5" s="4" t="inlineStr">
        <is>
          <t>Roll-On Cap</t>
        </is>
      </c>
      <c r="E5" s="4" t="inlineStr">
        <is>
          <t>Component</t>
        </is>
      </c>
      <c r="F5" s="4" t="inlineStr"/>
      <c r="G5" s="4" t="inlineStr">
        <is>
          <t>Plastic Roller Ball</t>
        </is>
      </c>
      <c r="H5" s="4" t="n">
        <v>500</v>
      </c>
      <c r="I5" s="5" t="n">
        <v>0.37</v>
      </c>
      <c r="J5" s="5" t="inlineStr"/>
      <c r="K5" s="5" t="n">
        <v>4.22</v>
      </c>
      <c r="L5" s="5">
        <f>K5-I5</f>
        <v/>
      </c>
      <c r="M5" s="6">
        <f>IFERROR(K5/I5,0)</f>
        <v/>
      </c>
      <c r="N5" s="7" t="inlineStr">
        <is>
          <t>Units error (stored 12-unit total)</t>
        </is>
      </c>
      <c r="O5" s="5">
        <f>ROUND(K5/12,3)</f>
        <v/>
      </c>
      <c r="P5" s="8" t="n"/>
      <c r="Q5" s="9" t="n"/>
    </row>
    <row r="6">
      <c r="A6" s="4" t="inlineStr">
        <is>
          <t>CMP-SPR-LVN-BULB</t>
        </is>
      </c>
      <c r="B6" s="4" t="inlineStr">
        <is>
          <t>AntqSprBulbLavender</t>
        </is>
      </c>
      <c r="C6" s="4" t="inlineStr">
        <is>
          <t>Antique Sprayer Bulb Lavender</t>
        </is>
      </c>
      <c r="D6" s="4" t="inlineStr">
        <is>
          <t>Sprayer</t>
        </is>
      </c>
      <c r="E6" s="4" t="inlineStr">
        <is>
          <t>Component</t>
        </is>
      </c>
      <c r="F6" s="4" t="inlineStr"/>
      <c r="G6" s="4" t="inlineStr">
        <is>
          <t>N/A</t>
        </is>
      </c>
      <c r="H6" s="4" t="n">
        <v>357</v>
      </c>
      <c r="I6" s="5" t="n">
        <v>4.25</v>
      </c>
      <c r="J6" s="5" t="inlineStr"/>
      <c r="K6" s="5" t="n">
        <v>48.45</v>
      </c>
      <c r="L6" s="5">
        <f>K6-I6</f>
        <v/>
      </c>
      <c r="M6" s="6">
        <f>IFERROR(K6/I6,0)</f>
        <v/>
      </c>
      <c r="N6" s="7" t="inlineStr">
        <is>
          <t>Units error (stored 12-unit total)</t>
        </is>
      </c>
      <c r="O6" s="5">
        <f>ROUND(K6/12,3)</f>
        <v/>
      </c>
      <c r="P6" s="8" t="n"/>
      <c r="Q6" s="9" t="n"/>
    </row>
    <row r="7">
      <c r="A7" s="4" t="inlineStr">
        <is>
          <t>CMP-SPR-RED-02</t>
        </is>
      </c>
      <c r="B7" s="4" t="inlineStr">
        <is>
          <t>GBATom5RedBurg</t>
        </is>
      </c>
      <c r="C7" s="4" t="inlineStr">
        <is>
          <t>Sprayer Red</t>
        </is>
      </c>
      <c r="D7" s="4" t="inlineStr">
        <is>
          <t>Sprayer</t>
        </is>
      </c>
      <c r="E7" s="4" t="inlineStr">
        <is>
          <t>Component</t>
        </is>
      </c>
      <c r="F7" s="4" t="inlineStr"/>
      <c r="G7" s="4" t="inlineStr">
        <is>
          <t>Fine Mist Sprayer</t>
        </is>
      </c>
      <c r="H7" s="4" t="n">
        <v>1000</v>
      </c>
      <c r="I7" s="5" t="n">
        <v>0.7</v>
      </c>
      <c r="J7" s="5" t="inlineStr"/>
      <c r="K7" s="5" t="n">
        <v>7.98</v>
      </c>
      <c r="L7" s="5">
        <f>K7-I7</f>
        <v/>
      </c>
      <c r="M7" s="6">
        <f>IFERROR(K7/I7,0)</f>
        <v/>
      </c>
      <c r="N7" s="7" t="inlineStr">
        <is>
          <t>Units error (stored 12-unit total)</t>
        </is>
      </c>
      <c r="O7" s="5">
        <f>ROUND(K7/12,3)</f>
        <v/>
      </c>
      <c r="P7" s="8" t="n"/>
      <c r="Q7" s="9" t="n"/>
    </row>
    <row r="8">
      <c r="A8" s="4" t="inlineStr">
        <is>
          <t>CMP-CLS-BLK-13-425</t>
        </is>
      </c>
      <c r="B8" s="4" t="inlineStr">
        <is>
          <t>CP13-425Blk</t>
        </is>
      </c>
      <c r="C8" s="4" t="inlineStr">
        <is>
          <t>Cap/Closure Black Thread 13-425</t>
        </is>
      </c>
      <c r="D8" s="4" t="inlineStr">
        <is>
          <t>Cap/Closure</t>
        </is>
      </c>
      <c r="E8" s="4" t="inlineStr">
        <is>
          <t>Component</t>
        </is>
      </c>
      <c r="F8" s="4" t="inlineStr"/>
      <c r="G8" s="4" t="inlineStr">
        <is>
          <t>Cap/Closure</t>
        </is>
      </c>
      <c r="H8" s="4" t="n">
        <v>500</v>
      </c>
      <c r="I8" s="5" t="n">
        <v>0.2</v>
      </c>
      <c r="J8" s="5" t="inlineStr"/>
      <c r="K8" s="5" t="n">
        <v>2.28</v>
      </c>
      <c r="L8" s="5">
        <f>K8-I8</f>
        <v/>
      </c>
      <c r="M8" s="6">
        <f>IFERROR(K8/I8,0)</f>
        <v/>
      </c>
      <c r="N8" s="7" t="inlineStr">
        <is>
          <t>Units error (stored 12-unit total)</t>
        </is>
      </c>
      <c r="O8" s="5">
        <f>ROUND(K8/12,3)</f>
        <v/>
      </c>
      <c r="P8" s="8" t="n"/>
      <c r="Q8" s="9" t="n"/>
    </row>
    <row r="9">
      <c r="A9" s="4" t="inlineStr">
        <is>
          <t>CMP-CLS-WHT-13-425</t>
        </is>
      </c>
      <c r="B9" s="4" t="inlineStr">
        <is>
          <t>CP13-425Wht</t>
        </is>
      </c>
      <c r="C9" s="4" t="inlineStr">
        <is>
          <t>Cap/Closure White Thread 13-425</t>
        </is>
      </c>
      <c r="D9" s="4" t="inlineStr">
        <is>
          <t>Cap/Closure</t>
        </is>
      </c>
      <c r="E9" s="4" t="inlineStr">
        <is>
          <t>Component</t>
        </is>
      </c>
      <c r="F9" s="4" t="inlineStr"/>
      <c r="G9" s="4" t="inlineStr">
        <is>
          <t>Cap/Closure</t>
        </is>
      </c>
      <c r="H9" s="4" t="n">
        <v>500</v>
      </c>
      <c r="I9" s="5" t="n">
        <v>0.55</v>
      </c>
      <c r="J9" s="5" t="inlineStr"/>
      <c r="K9" s="5" t="n">
        <v>6.27</v>
      </c>
      <c r="L9" s="5">
        <f>K9-I9</f>
        <v/>
      </c>
      <c r="M9" s="6">
        <f>IFERROR(K9/I9,0)</f>
        <v/>
      </c>
      <c r="N9" s="7" t="inlineStr">
        <is>
          <t>Units error (stored 12-unit total)</t>
        </is>
      </c>
      <c r="O9" s="5">
        <f>ROUND(K9/12,3)</f>
        <v/>
      </c>
      <c r="P9" s="8" t="n"/>
      <c r="Q9" s="9" t="n"/>
    </row>
    <row r="10">
      <c r="A10" s="4" t="inlineStr">
        <is>
          <t>CMP-CLS-BLK-03</t>
        </is>
      </c>
      <c r="B10" s="4" t="inlineStr">
        <is>
          <t>CapBlackPoly22mm-400</t>
        </is>
      </c>
      <c r="C10" s="4" t="inlineStr">
        <is>
          <t>Cap/Closure Black</t>
        </is>
      </c>
      <c r="D10" s="4" t="inlineStr">
        <is>
          <t>Cap/Closure</t>
        </is>
      </c>
      <c r="E10" s="4" t="inlineStr">
        <is>
          <t>Component</t>
        </is>
      </c>
      <c r="F10" s="4" t="inlineStr"/>
      <c r="G10" s="4" t="inlineStr">
        <is>
          <t>Cap/Closure</t>
        </is>
      </c>
      <c r="H10" s="4" t="n">
        <v>500</v>
      </c>
      <c r="I10" s="5" t="n">
        <v>0.2</v>
      </c>
      <c r="J10" s="5" t="inlineStr"/>
      <c r="K10" s="5" t="n">
        <v>2.28</v>
      </c>
      <c r="L10" s="5">
        <f>K10-I10</f>
        <v/>
      </c>
      <c r="M10" s="6">
        <f>IFERROR(K10/I10,0)</f>
        <v/>
      </c>
      <c r="N10" s="7" t="inlineStr">
        <is>
          <t>Units error (stored 12-unit total)</t>
        </is>
      </c>
      <c r="O10" s="5">
        <f>ROUND(K10/12,3)</f>
        <v/>
      </c>
      <c r="P10" s="8" t="n"/>
      <c r="Q10" s="9" t="n"/>
    </row>
    <row r="11">
      <c r="A11" s="4" t="inlineStr">
        <is>
          <t>CMP-CAP-PHN-24400-BLK</t>
        </is>
      </c>
      <c r="B11" s="4" t="inlineStr">
        <is>
          <t>CP24-400BlkPls</t>
        </is>
      </c>
      <c r="C11" s="4" t="inlineStr">
        <is>
          <t>Phenolic Cap 24-400 Black Taperseal</t>
        </is>
      </c>
      <c r="D11" s="4" t="inlineStr">
        <is>
          <t>Cap/Closure</t>
        </is>
      </c>
      <c r="E11" s="4" t="inlineStr">
        <is>
          <t>Component</t>
        </is>
      </c>
      <c r="F11" s="4" t="inlineStr"/>
      <c r="G11" s="4" t="inlineStr">
        <is>
          <t>N/A</t>
        </is>
      </c>
      <c r="H11" s="4" t="n">
        <v>357</v>
      </c>
      <c r="I11" s="5" t="n">
        <v>0.2</v>
      </c>
      <c r="J11" s="5" t="inlineStr"/>
      <c r="K11" s="5" t="n">
        <v>2.28</v>
      </c>
      <c r="L11" s="5">
        <f>K11-I11</f>
        <v/>
      </c>
      <c r="M11" s="6">
        <f>IFERROR(K11/I11,0)</f>
        <v/>
      </c>
      <c r="N11" s="7" t="inlineStr">
        <is>
          <t>Units error (stored 12-unit total)</t>
        </is>
      </c>
      <c r="O11" s="5">
        <f>ROUND(K11/12,3)</f>
        <v/>
      </c>
      <c r="P11" s="8" t="n"/>
      <c r="Q11" s="9" t="n"/>
    </row>
    <row r="12">
      <c r="A12" s="4" t="inlineStr">
        <is>
          <t>CMP-CLS-BLK-06</t>
        </is>
      </c>
      <c r="B12" s="4" t="inlineStr">
        <is>
          <t>CJ30BlkCap</t>
        </is>
      </c>
      <c r="C12" s="4" t="inlineStr">
        <is>
          <t>Cap/Closure Black</t>
        </is>
      </c>
      <c r="D12" s="4" t="inlineStr">
        <is>
          <t>Cap/Closure</t>
        </is>
      </c>
      <c r="E12" s="4" t="inlineStr">
        <is>
          <t>Component</t>
        </is>
      </c>
      <c r="F12" s="4" t="inlineStr"/>
      <c r="G12" s="4" t="inlineStr">
        <is>
          <t>Cap/Closure</t>
        </is>
      </c>
      <c r="H12" s="4" t="n">
        <v>500</v>
      </c>
      <c r="I12" s="5" t="n">
        <v>0.9</v>
      </c>
      <c r="J12" s="5" t="inlineStr"/>
      <c r="K12" s="5" t="n">
        <v>10.26</v>
      </c>
      <c r="L12" s="5">
        <f>K12-I12</f>
        <v/>
      </c>
      <c r="M12" s="6">
        <f>IFERROR(K12/I12,0)</f>
        <v/>
      </c>
      <c r="N12" s="7" t="inlineStr">
        <is>
          <t>Units error (stored 12-unit total)</t>
        </is>
      </c>
      <c r="O12" s="5">
        <f>ROUND(K12/12,3)</f>
        <v/>
      </c>
      <c r="P12" s="8" t="n"/>
      <c r="Q12" s="9" t="n"/>
    </row>
    <row r="13">
      <c r="A13" s="4" t="inlineStr">
        <is>
          <t>CMP-CLS-SLV-02</t>
        </is>
      </c>
      <c r="B13" s="4" t="inlineStr">
        <is>
          <t>CJ30SlCap</t>
        </is>
      </c>
      <c r="C13" s="4" t="inlineStr">
        <is>
          <t>Cap/Closure Silver</t>
        </is>
      </c>
      <c r="D13" s="4" t="inlineStr">
        <is>
          <t>Cap/Closure</t>
        </is>
      </c>
      <c r="E13" s="4" t="inlineStr">
        <is>
          <t>Component</t>
        </is>
      </c>
      <c r="F13" s="4" t="inlineStr"/>
      <c r="G13" s="4" t="inlineStr">
        <is>
          <t>Cap/Closure</t>
        </is>
      </c>
      <c r="H13" s="4" t="n">
        <v>500</v>
      </c>
      <c r="I13" s="5" t="n">
        <v>0.9</v>
      </c>
      <c r="J13" s="5" t="inlineStr"/>
      <c r="K13" s="5" t="n">
        <v>10.26</v>
      </c>
      <c r="L13" s="5">
        <f>K13-I13</f>
        <v/>
      </c>
      <c r="M13" s="6">
        <f>IFERROR(K13/I13,0)</f>
        <v/>
      </c>
      <c r="N13" s="7" t="inlineStr">
        <is>
          <t>Units error (stored 12-unit total)</t>
        </is>
      </c>
      <c r="O13" s="5">
        <f>ROUND(K13/12,3)</f>
        <v/>
      </c>
      <c r="P13" s="8" t="n"/>
      <c r="Q13" s="9" t="n"/>
    </row>
    <row r="14">
      <c r="A14" s="4" t="inlineStr">
        <is>
          <t>CMP-CLS-BLK-07</t>
        </is>
      </c>
      <c r="B14" s="4" t="inlineStr">
        <is>
          <t>CJ40BlkCap</t>
        </is>
      </c>
      <c r="C14" s="4" t="inlineStr">
        <is>
          <t>Cap/Closure Black</t>
        </is>
      </c>
      <c r="D14" s="4" t="inlineStr">
        <is>
          <t>Cap/Closure</t>
        </is>
      </c>
      <c r="E14" s="4" t="inlineStr">
        <is>
          <t>Component</t>
        </is>
      </c>
      <c r="F14" s="4" t="inlineStr"/>
      <c r="G14" s="4" t="inlineStr">
        <is>
          <t>Cap/Closure</t>
        </is>
      </c>
      <c r="H14" s="4" t="n">
        <v>500</v>
      </c>
      <c r="I14" s="5" t="n">
        <v>0.95</v>
      </c>
      <c r="J14" s="5" t="inlineStr"/>
      <c r="K14" s="5" t="n">
        <v>10.83</v>
      </c>
      <c r="L14" s="5">
        <f>K14-I14</f>
        <v/>
      </c>
      <c r="M14" s="6">
        <f>IFERROR(K14/I14,0)</f>
        <v/>
      </c>
      <c r="N14" s="7" t="inlineStr">
        <is>
          <t>Units error (stored 12-unit total)</t>
        </is>
      </c>
      <c r="O14" s="5">
        <f>ROUND(K14/12,3)</f>
        <v/>
      </c>
      <c r="P14" s="8" t="n"/>
      <c r="Q14" s="9" t="n"/>
    </row>
    <row r="15">
      <c r="A15" s="4" t="inlineStr">
        <is>
          <t>CMP-CLS-SLV-03</t>
        </is>
      </c>
      <c r="B15" s="4" t="inlineStr">
        <is>
          <t>CJ40SlCap</t>
        </is>
      </c>
      <c r="C15" s="4" t="inlineStr">
        <is>
          <t>Cap/Closure Silver</t>
        </is>
      </c>
      <c r="D15" s="4" t="inlineStr">
        <is>
          <t>Cap/Closure</t>
        </is>
      </c>
      <c r="E15" s="4" t="inlineStr">
        <is>
          <t>Component</t>
        </is>
      </c>
      <c r="F15" s="4" t="inlineStr"/>
      <c r="G15" s="4" t="inlineStr">
        <is>
          <t>Cap/Closure</t>
        </is>
      </c>
      <c r="H15" s="4" t="n">
        <v>500</v>
      </c>
      <c r="I15" s="5" t="n">
        <v>0.95</v>
      </c>
      <c r="J15" s="5" t="inlineStr"/>
      <c r="K15" s="5" t="n">
        <v>10.83</v>
      </c>
      <c r="L15" s="5">
        <f>K15-I15</f>
        <v/>
      </c>
      <c r="M15" s="6">
        <f>IFERROR(K15/I15,0)</f>
        <v/>
      </c>
      <c r="N15" s="7" t="inlineStr">
        <is>
          <t>Units error (stored 12-unit total)</t>
        </is>
      </c>
      <c r="O15" s="5">
        <f>ROUND(K15/12,3)</f>
        <v/>
      </c>
      <c r="P15" s="8" t="n"/>
      <c r="Q15" s="9" t="n"/>
    </row>
    <row r="16">
      <c r="A16" s="4" t="inlineStr">
        <is>
          <t>CMP-CLS-BLK-08</t>
        </is>
      </c>
      <c r="B16" s="4" t="inlineStr">
        <is>
          <t>CJ5BlkCap</t>
        </is>
      </c>
      <c r="C16" s="4" t="inlineStr">
        <is>
          <t>Cap/Closure Black</t>
        </is>
      </c>
      <c r="D16" s="4" t="inlineStr">
        <is>
          <t>Cap/Closure</t>
        </is>
      </c>
      <c r="E16" s="4" t="inlineStr">
        <is>
          <t>Component</t>
        </is>
      </c>
      <c r="F16" s="4" t="inlineStr"/>
      <c r="G16" s="4" t="inlineStr">
        <is>
          <t>Cap/Closure</t>
        </is>
      </c>
      <c r="H16" s="4" t="n">
        <v>1000</v>
      </c>
      <c r="I16" s="5" t="n">
        <v>0.5</v>
      </c>
      <c r="J16" s="5" t="inlineStr"/>
      <c r="K16" s="5" t="n">
        <v>5.7</v>
      </c>
      <c r="L16" s="5">
        <f>K16-I16</f>
        <v/>
      </c>
      <c r="M16" s="6">
        <f>IFERROR(K16/I16,0)</f>
        <v/>
      </c>
      <c r="N16" s="7" t="inlineStr">
        <is>
          <t>Units error (stored 12-unit total)</t>
        </is>
      </c>
      <c r="O16" s="5">
        <f>ROUND(K16/12,3)</f>
        <v/>
      </c>
      <c r="P16" s="8" t="n"/>
      <c r="Q16" s="9" t="n"/>
    </row>
    <row r="17">
      <c r="A17" s="4" t="inlineStr">
        <is>
          <t>CMP-CLS-SLV-04</t>
        </is>
      </c>
      <c r="B17" s="4" t="inlineStr">
        <is>
          <t>CJ5SlCap</t>
        </is>
      </c>
      <c r="C17" s="4" t="inlineStr">
        <is>
          <t>Cap/Closure Silver</t>
        </is>
      </c>
      <c r="D17" s="4" t="inlineStr">
        <is>
          <t>Cap/Closure</t>
        </is>
      </c>
      <c r="E17" s="4" t="inlineStr">
        <is>
          <t>Component</t>
        </is>
      </c>
      <c r="F17" s="4" t="inlineStr"/>
      <c r="G17" s="4" t="inlineStr">
        <is>
          <t>Cap/Closure</t>
        </is>
      </c>
      <c r="H17" s="4" t="n">
        <v>1000</v>
      </c>
      <c r="I17" s="5" t="n">
        <v>0.5</v>
      </c>
      <c r="J17" s="5" t="inlineStr"/>
      <c r="K17" s="5" t="n">
        <v>5.7</v>
      </c>
      <c r="L17" s="5">
        <f>K17-I17</f>
        <v/>
      </c>
      <c r="M17" s="6">
        <f>IFERROR(K17/I17,0)</f>
        <v/>
      </c>
      <c r="N17" s="7" t="inlineStr">
        <is>
          <t>Units error (stored 12-unit total)</t>
        </is>
      </c>
      <c r="O17" s="5">
        <f>ROUND(K17/12,3)</f>
        <v/>
      </c>
      <c r="P17" s="8" t="n"/>
      <c r="Q17" s="9" t="n"/>
    </row>
    <row r="18">
      <c r="A18" s="4" t="inlineStr">
        <is>
          <t>CMP-CLS-GLD-02</t>
        </is>
      </c>
      <c r="B18" s="4" t="inlineStr">
        <is>
          <t>CPKeyChnGld</t>
        </is>
      </c>
      <c r="C18" s="4" t="inlineStr">
        <is>
          <t>Cap/Closure Gold</t>
        </is>
      </c>
      <c r="D18" s="4" t="inlineStr">
        <is>
          <t>Cap/Closure</t>
        </is>
      </c>
      <c r="E18" s="4" t="inlineStr">
        <is>
          <t>Component</t>
        </is>
      </c>
      <c r="F18" s="4" t="inlineStr"/>
      <c r="G18" s="4" t="inlineStr">
        <is>
          <t>Cap/Closure</t>
        </is>
      </c>
      <c r="H18" s="4" t="n">
        <v>500</v>
      </c>
      <c r="I18" s="5" t="n">
        <v>0.55</v>
      </c>
      <c r="J18" s="5" t="inlineStr"/>
      <c r="K18" s="5" t="n">
        <v>6.27</v>
      </c>
      <c r="L18" s="5">
        <f>K18-I18</f>
        <v/>
      </c>
      <c r="M18" s="6">
        <f>IFERROR(K18/I18,0)</f>
        <v/>
      </c>
      <c r="N18" s="7" t="inlineStr">
        <is>
          <t>Units error (stored 12-unit total)</t>
        </is>
      </c>
      <c r="O18" s="5">
        <f>ROUND(K18/12,3)</f>
        <v/>
      </c>
      <c r="P18" s="8" t="n"/>
      <c r="Q18" s="9" t="n"/>
    </row>
    <row r="19">
      <c r="A19" s="4" t="inlineStr">
        <is>
          <t>CMP-CLS-GDRD</t>
        </is>
      </c>
      <c r="B19" s="4" t="inlineStr">
        <is>
          <t>CPTslRed</t>
        </is>
      </c>
      <c r="C19" s="4" t="inlineStr">
        <is>
          <t>Cap/Closure Gold Red</t>
        </is>
      </c>
      <c r="D19" s="4" t="inlineStr">
        <is>
          <t>Cap/Closure</t>
        </is>
      </c>
      <c r="E19" s="4" t="inlineStr">
        <is>
          <t>Component</t>
        </is>
      </c>
      <c r="F19" s="4" t="inlineStr"/>
      <c r="G19" s="4" t="inlineStr">
        <is>
          <t>Cap/Closure</t>
        </is>
      </c>
      <c r="H19" s="4" t="n">
        <v>500</v>
      </c>
      <c r="I19" s="5" t="n">
        <v>5</v>
      </c>
      <c r="J19" s="5" t="inlineStr"/>
      <c r="K19" s="5" t="n">
        <v>57</v>
      </c>
      <c r="L19" s="5">
        <f>K19-I19</f>
        <v/>
      </c>
      <c r="M19" s="6">
        <f>IFERROR(K19/I19,0)</f>
        <v/>
      </c>
      <c r="N19" s="7" t="inlineStr">
        <is>
          <t>Units error (stored 12-unit total)</t>
        </is>
      </c>
      <c r="O19" s="5">
        <f>ROUND(K19/12,3)</f>
        <v/>
      </c>
      <c r="P19" s="8" t="n"/>
      <c r="Q19" s="9" t="n"/>
    </row>
    <row r="20">
      <c r="A20" s="4" t="inlineStr">
        <is>
          <t>CMP-DRP-AMB</t>
        </is>
      </c>
      <c r="B20" s="4" t="inlineStr">
        <is>
          <t>Droppers1ozElg</t>
        </is>
      </c>
      <c r="C20" s="4" t="inlineStr">
        <is>
          <t>Dropper Amber</t>
        </is>
      </c>
      <c r="D20" s="4" t="inlineStr">
        <is>
          <t>Dropper</t>
        </is>
      </c>
      <c r="E20" s="4" t="inlineStr">
        <is>
          <t>Component</t>
        </is>
      </c>
      <c r="F20" s="4" t="inlineStr"/>
      <c r="G20" s="4" t="inlineStr">
        <is>
          <t>Dropper</t>
        </is>
      </c>
      <c r="H20" s="4" t="n">
        <v>1000</v>
      </c>
      <c r="I20" s="5" t="n">
        <v>0.45</v>
      </c>
      <c r="J20" s="5" t="inlineStr"/>
      <c r="K20" s="5" t="n">
        <v>5.13</v>
      </c>
      <c r="L20" s="5">
        <f>K20-I20</f>
        <v/>
      </c>
      <c r="M20" s="6">
        <f>IFERROR(K20/I20,0)</f>
        <v/>
      </c>
      <c r="N20" s="7" t="inlineStr">
        <is>
          <t>Units error (stored 12-unit total)</t>
        </is>
      </c>
      <c r="O20" s="5">
        <f>ROUND(K20/12,3)</f>
        <v/>
      </c>
      <c r="P20" s="8" t="n"/>
      <c r="Q20" s="9" t="n"/>
    </row>
    <row r="21">
      <c r="A21" s="10" t="inlineStr">
        <is>
          <t>CJ-JAR-CBL-9ML</t>
        </is>
      </c>
      <c r="B21" s="10" t="inlineStr">
        <is>
          <t>CJBlu3</t>
        </is>
      </c>
      <c r="C21" s="10" t="inlineStr">
        <is>
          <t>Plastic, cream jar style 3 ml bottle with blue cap. For use with body butters, creams, and thick lotions. Small trial or</t>
        </is>
      </c>
      <c r="D21" s="10" t="inlineStr">
        <is>
          <t>Cream Jar</t>
        </is>
      </c>
      <c r="E21" s="10" t="inlineStr">
        <is>
          <t>Glass Jar</t>
        </is>
      </c>
      <c r="F21" s="10" t="inlineStr">
        <is>
          <t>3 ml (0.1 oz)</t>
        </is>
      </c>
      <c r="G21" s="10" t="inlineStr"/>
      <c r="H21" s="10" t="inlineStr"/>
      <c r="I21" s="11" t="n">
        <v>0.3</v>
      </c>
      <c r="J21" s="11" t="inlineStr"/>
      <c r="K21" s="11" t="n">
        <v>0.8</v>
      </c>
      <c r="L21" s="11">
        <f>K21-I21</f>
        <v/>
      </c>
      <c r="M21" s="12">
        <f>IFERROR(K21/I21,0)</f>
        <v/>
      </c>
      <c r="N21" s="13" t="inlineStr">
        <is>
          <t>Needs decision (real inversion)</t>
        </is>
      </c>
      <c r="O21" s="11" t="inlineStr"/>
      <c r="P21" s="8" t="n"/>
      <c r="Q21" s="9" t="n"/>
    </row>
    <row r="22">
      <c r="A22" s="10" t="inlineStr">
        <is>
          <t>GB-ELG-FRS-15ML-WHT-S</t>
        </is>
      </c>
      <c r="B22" s="10" t="inlineStr">
        <is>
          <t>GBElgFrst15WhtSht</t>
        </is>
      </c>
      <c r="C22" s="10" t="inlineStr">
        <is>
          <t>Elegant 15 ml (0.51 oz) Frosted Glass Bottle Short White Cap</t>
        </is>
      </c>
      <c r="D22" s="10" t="inlineStr">
        <is>
          <t>Elegant</t>
        </is>
      </c>
      <c r="E22" s="10" t="inlineStr">
        <is>
          <t>Glass Bottle</t>
        </is>
      </c>
      <c r="F22" s="10" t="inlineStr">
        <is>
          <t>15 ml (0.51 oz)</t>
        </is>
      </c>
      <c r="G22" s="10" t="inlineStr"/>
      <c r="H22" s="10" t="n">
        <v>288</v>
      </c>
      <c r="I22" s="11" t="n">
        <v>0.64</v>
      </c>
      <c r="J22" s="11" t="inlineStr"/>
      <c r="K22" s="11" t="n">
        <v>1.47</v>
      </c>
      <c r="L22" s="11">
        <f>K22-I22</f>
        <v/>
      </c>
      <c r="M22" s="12">
        <f>IFERROR(K22/I22,0)</f>
        <v/>
      </c>
      <c r="N22" s="13" t="inlineStr">
        <is>
          <t>Needs decision (real inversion)</t>
        </is>
      </c>
      <c r="O22" s="11" t="inlineStr"/>
      <c r="P22" s="8" t="n"/>
      <c r="Q22" s="9" t="n"/>
    </row>
    <row r="23">
      <c r="A23" s="10" t="inlineStr">
        <is>
          <t>GB-ELG-FRS-15ML-BLK-S-02</t>
        </is>
      </c>
      <c r="B23" s="10" t="inlineStr">
        <is>
          <t>GBElgFrst15BlkSht</t>
        </is>
      </c>
      <c r="C23" s="10" t="inlineStr">
        <is>
          <t>Elegant 15 ml (0.51 oz) Frosted Glass Bottle Short Black Cap</t>
        </is>
      </c>
      <c r="D23" s="10" t="inlineStr">
        <is>
          <t>Elegant</t>
        </is>
      </c>
      <c r="E23" s="10" t="inlineStr">
        <is>
          <t>Glass Bottle</t>
        </is>
      </c>
      <c r="F23" s="10" t="inlineStr">
        <is>
          <t>15 ml (0.51 oz)</t>
        </is>
      </c>
      <c r="G23" s="10" t="inlineStr"/>
      <c r="H23" s="10" t="n">
        <v>288</v>
      </c>
      <c r="I23" s="11" t="n">
        <v>0.64</v>
      </c>
      <c r="J23" s="11" t="inlineStr"/>
      <c r="K23" s="11" t="n">
        <v>1.47</v>
      </c>
      <c r="L23" s="11">
        <f>K23-I23</f>
        <v/>
      </c>
      <c r="M23" s="12">
        <f>IFERROR(K23/I23,0)</f>
        <v/>
      </c>
      <c r="N23" s="13" t="inlineStr">
        <is>
          <t>Needs decision (real inversion)</t>
        </is>
      </c>
      <c r="O23" s="11" t="inlineStr"/>
      <c r="P23" s="8" t="n"/>
      <c r="Q23" s="9" t="n"/>
    </row>
    <row r="24">
      <c r="A24" s="10" t="inlineStr">
        <is>
          <t>GB-CYL-CBL-5ML-S-02</t>
        </is>
      </c>
      <c r="B24" s="10" t="inlineStr">
        <is>
          <t>GBCylBlu5WhtSht</t>
        </is>
      </c>
      <c r="C24" s="10" t="inlineStr">
        <is>
          <t>Cylinder design 5ml, 1/6oz Blue glass bottle with short white cap. For use with perfume or fragrance oil, essential oils</t>
        </is>
      </c>
      <c r="D24" s="10" t="inlineStr">
        <is>
          <t>Cylinder</t>
        </is>
      </c>
      <c r="E24" s="10" t="inlineStr">
        <is>
          <t>Glass Bottle</t>
        </is>
      </c>
      <c r="F24" s="10" t="inlineStr">
        <is>
          <t>5 ml (0.17 oz)</t>
        </is>
      </c>
      <c r="G24" s="10" t="inlineStr">
        <is>
          <t>Cap/Closure</t>
        </is>
      </c>
      <c r="H24" s="10" t="n">
        <v>845</v>
      </c>
      <c r="I24" s="11" t="n">
        <v>0.39</v>
      </c>
      <c r="J24" s="11" t="inlineStr"/>
      <c r="K24" s="11" t="n">
        <v>0.71</v>
      </c>
      <c r="L24" s="11">
        <f>K24-I24</f>
        <v/>
      </c>
      <c r="M24" s="12">
        <f>IFERROR(K24/I24,0)</f>
        <v/>
      </c>
      <c r="N24" s="13" t="inlineStr">
        <is>
          <t>Needs decision (real inversion)</t>
        </is>
      </c>
      <c r="O24" s="11" t="inlineStr"/>
      <c r="P24" s="8" t="n"/>
      <c r="Q24" s="9" t="n"/>
    </row>
    <row r="25">
      <c r="A25" s="10" t="inlineStr">
        <is>
          <t>GB-ELG-FRS-15ML-RBL-MSLV</t>
        </is>
      </c>
      <c r="B25" s="10" t="inlineStr">
        <is>
          <t>GBElgFrst15RollSlMatt</t>
        </is>
      </c>
      <c r="C25" s="10" t="inlineStr">
        <is>
          <t>Elegant 15 ml (0.51 oz) Frosted Glass Bottle with Roller Ball Matte Silver Cap</t>
        </is>
      </c>
      <c r="D25" s="10" t="inlineStr">
        <is>
          <t>Elegant</t>
        </is>
      </c>
      <c r="E25" s="10" t="inlineStr">
        <is>
          <t>Glass Bottle</t>
        </is>
      </c>
      <c r="F25" s="10" t="inlineStr">
        <is>
          <t>15 ml (0.51 oz)</t>
        </is>
      </c>
      <c r="G25" s="10" t="inlineStr">
        <is>
          <t>Plastic Roller Ball</t>
        </is>
      </c>
      <c r="H25" s="10" t="n">
        <v>288</v>
      </c>
      <c r="I25" s="11" t="n">
        <v>0.9399999999999999</v>
      </c>
      <c r="J25" s="11" t="inlineStr"/>
      <c r="K25" s="11" t="n">
        <v>1.57</v>
      </c>
      <c r="L25" s="11">
        <f>K25-I25</f>
        <v/>
      </c>
      <c r="M25" s="12">
        <f>IFERROR(K25/I25,0)</f>
        <v/>
      </c>
      <c r="N25" s="13" t="inlineStr">
        <is>
          <t>Needs decision (real inversion)</t>
        </is>
      </c>
      <c r="O25" s="11" t="inlineStr"/>
      <c r="P25" s="8" t="n"/>
      <c r="Q25" s="9" t="n"/>
    </row>
    <row r="26">
      <c r="A26" s="10" t="inlineStr">
        <is>
          <t>GB-ELG-CLR-60ML-RDC-MSLV-T</t>
        </is>
      </c>
      <c r="B26" s="10" t="inlineStr">
        <is>
          <t>GBElg60RdcrMtSlTall</t>
        </is>
      </c>
      <c r="C26" s="10" t="inlineStr">
        <is>
          <t>Elegant design 60 ml, 2oz  clear glass bottle  with reducer and tall silver matte cap. For use with cologne, aftershave,</t>
        </is>
      </c>
      <c r="D26" s="10" t="inlineStr">
        <is>
          <t>Elegant</t>
        </is>
      </c>
      <c r="E26" s="10" t="inlineStr">
        <is>
          <t>Glass Bottle</t>
        </is>
      </c>
      <c r="F26" s="10" t="inlineStr">
        <is>
          <t>60 ml (2.03 oz)</t>
        </is>
      </c>
      <c r="G26" s="10" t="inlineStr">
        <is>
          <t>Reducer</t>
        </is>
      </c>
      <c r="H26" s="10" t="n">
        <v>216</v>
      </c>
      <c r="I26" s="11" t="n">
        <v>1.72</v>
      </c>
      <c r="J26" s="11" t="inlineStr"/>
      <c r="K26" s="11" t="n">
        <v>2.19</v>
      </c>
      <c r="L26" s="11">
        <f>K26-I26</f>
        <v/>
      </c>
      <c r="M26" s="12">
        <f>IFERROR(K26/I26,0)</f>
        <v/>
      </c>
      <c r="N26" s="13" t="inlineStr">
        <is>
          <t>Needs decision (real inversion)</t>
        </is>
      </c>
      <c r="O26" s="11" t="inlineStr"/>
      <c r="P26" s="8" t="n"/>
      <c r="Q26" s="9" t="n"/>
    </row>
    <row r="27">
      <c r="A27" s="10" t="inlineStr">
        <is>
          <t>GB-ELG-FRS-15ML-SPR</t>
        </is>
      </c>
      <c r="B27" s="10" t="inlineStr">
        <is>
          <t>GBElgFrst15SpryBluMatt</t>
        </is>
      </c>
      <c r="C27" s="10" t="inlineStr">
        <is>
          <t>Elegant 15 ml (0.51 oz) Frosted Glass Bottle with Sprayer</t>
        </is>
      </c>
      <c r="D27" s="10" t="inlineStr">
        <is>
          <t>Elegant</t>
        </is>
      </c>
      <c r="E27" s="10" t="inlineStr">
        <is>
          <t>Glass Bottle</t>
        </is>
      </c>
      <c r="F27" s="10" t="inlineStr">
        <is>
          <t>15 ml (0.51 oz)</t>
        </is>
      </c>
      <c r="G27" s="10" t="inlineStr">
        <is>
          <t>Fine Mist Sprayer</t>
        </is>
      </c>
      <c r="H27" s="10" t="n">
        <v>288</v>
      </c>
      <c r="I27" s="11" t="n">
        <v>1.17</v>
      </c>
      <c r="J27" s="11" t="inlineStr"/>
      <c r="K27" s="11" t="n">
        <v>1.47</v>
      </c>
      <c r="L27" s="11">
        <f>K27-I27</f>
        <v/>
      </c>
      <c r="M27" s="12">
        <f>IFERROR(K27/I27,0)</f>
        <v/>
      </c>
      <c r="N27" s="13" t="inlineStr">
        <is>
          <t>Needs decision (real inversion)</t>
        </is>
      </c>
      <c r="O27" s="11" t="inlineStr"/>
      <c r="P27" s="8" t="n"/>
      <c r="Q27" s="9" t="n"/>
    </row>
    <row r="28">
      <c r="A28" s="10" t="inlineStr">
        <is>
          <t>GB-CIR-FRS-50ML-RDC-SGLD</t>
        </is>
      </c>
      <c r="B28" s="10" t="inlineStr">
        <is>
          <t>GBCrclFrst50RdcrShnGl</t>
        </is>
      </c>
      <c r="C28" s="10" t="inlineStr">
        <is>
          <t>Circle design 50 ml, 1.7oz  frosted glass bottle  with reducer and shiny gold cap. For use with cologne, aftershave, spl</t>
        </is>
      </c>
      <c r="D28" s="10" t="inlineStr">
        <is>
          <t>Circle</t>
        </is>
      </c>
      <c r="E28" s="10" t="inlineStr">
        <is>
          <t>Glass Bottle</t>
        </is>
      </c>
      <c r="F28" s="10" t="inlineStr">
        <is>
          <t>50 ml (1.69 oz)</t>
        </is>
      </c>
      <c r="G28" s="10" t="inlineStr">
        <is>
          <t>Reducer</t>
        </is>
      </c>
      <c r="H28" s="10" t="n">
        <v>270</v>
      </c>
      <c r="I28" s="11" t="n">
        <v>2.07</v>
      </c>
      <c r="J28" s="11" t="inlineStr"/>
      <c r="K28" s="11" t="n">
        <v>2.52</v>
      </c>
      <c r="L28" s="11">
        <f>K28-I28</f>
        <v/>
      </c>
      <c r="M28" s="12">
        <f>IFERROR(K28/I28,0)</f>
        <v/>
      </c>
      <c r="N28" s="13" t="inlineStr">
        <is>
          <t>Needs decision (real inversion)</t>
        </is>
      </c>
      <c r="O28" s="11" t="inlineStr"/>
      <c r="P28" s="8" t="n"/>
      <c r="Q28" s="9" t="n"/>
    </row>
    <row r="29">
      <c r="A29" s="10" t="inlineStr">
        <is>
          <t>GB-CIR-FRS-50ML-RDC-SBLK-T</t>
        </is>
      </c>
      <c r="B29" s="10" t="inlineStr">
        <is>
          <t>GBCrclFrst50RdcrShnBlkTall</t>
        </is>
      </c>
      <c r="C29" s="10" t="inlineStr">
        <is>
          <t>Circle design 50 ml, 1.7oz  frosted glass bottle  with reducer and tall black shiny cap. For use with cologne, aftershav</t>
        </is>
      </c>
      <c r="D29" s="10" t="inlineStr">
        <is>
          <t>Circle</t>
        </is>
      </c>
      <c r="E29" s="10" t="inlineStr">
        <is>
          <t>Glass Bottle</t>
        </is>
      </c>
      <c r="F29" s="10" t="inlineStr">
        <is>
          <t>50 ml (1.69 oz)</t>
        </is>
      </c>
      <c r="G29" s="10" t="inlineStr">
        <is>
          <t>Reducer</t>
        </is>
      </c>
      <c r="H29" s="10" t="n">
        <v>270</v>
      </c>
      <c r="I29" s="11" t="n">
        <v>2.07</v>
      </c>
      <c r="J29" s="11" t="inlineStr"/>
      <c r="K29" s="11" t="n">
        <v>2.52</v>
      </c>
      <c r="L29" s="11">
        <f>K29-I29</f>
        <v/>
      </c>
      <c r="M29" s="12">
        <f>IFERROR(K29/I29,0)</f>
        <v/>
      </c>
      <c r="N29" s="13" t="inlineStr">
        <is>
          <t>Needs decision (real inversion)</t>
        </is>
      </c>
      <c r="O29" s="11" t="inlineStr"/>
      <c r="P29" s="8" t="n"/>
      <c r="Q29" s="9" t="n"/>
    </row>
    <row r="30">
      <c r="A30" s="10" t="inlineStr">
        <is>
          <t>GB-CIR-FRS-50ML-RDC-SSLV</t>
        </is>
      </c>
      <c r="B30" s="10" t="inlineStr">
        <is>
          <t>GBCrclFrst50RdcrShnSl</t>
        </is>
      </c>
      <c r="C30" s="10" t="inlineStr">
        <is>
          <t>Circle design 50 ml, 1.7oz  frosted glass bottle  with reducer and shiny silver cap. For use with cologne, aftershave, s</t>
        </is>
      </c>
      <c r="D30" s="10" t="inlineStr">
        <is>
          <t>Circle</t>
        </is>
      </c>
      <c r="E30" s="10" t="inlineStr">
        <is>
          <t>Glass Bottle</t>
        </is>
      </c>
      <c r="F30" s="10" t="inlineStr">
        <is>
          <t>50 ml (1.69 oz)</t>
        </is>
      </c>
      <c r="G30" s="10" t="inlineStr">
        <is>
          <t>Reducer</t>
        </is>
      </c>
      <c r="H30" s="10" t="n">
        <v>270</v>
      </c>
      <c r="I30" s="11" t="n">
        <v>2.07</v>
      </c>
      <c r="J30" s="11" t="inlineStr"/>
      <c r="K30" s="11" t="n">
        <v>2.52</v>
      </c>
      <c r="L30" s="11">
        <f>K30-I30</f>
        <v/>
      </c>
      <c r="M30" s="12">
        <f>IFERROR(K30/I30,0)</f>
        <v/>
      </c>
      <c r="N30" s="13" t="inlineStr">
        <is>
          <t>Needs decision (real inversion)</t>
        </is>
      </c>
      <c r="O30" s="11" t="inlineStr"/>
      <c r="P30" s="8" t="n"/>
      <c r="Q30" s="9" t="n"/>
    </row>
    <row r="31">
      <c r="A31" s="10" t="inlineStr">
        <is>
          <t>GB-CIR-FRS-50ML-RDC-MSLV</t>
        </is>
      </c>
      <c r="B31" s="10" t="inlineStr">
        <is>
          <t>GBCrclFrst50RdcrMtSl</t>
        </is>
      </c>
      <c r="C31" s="10" t="inlineStr">
        <is>
          <t>Circle design 50 ml, 1.7oz  frosted glass bottle  with reducer and tall silver matte cap. For use with cologne, aftersha</t>
        </is>
      </c>
      <c r="D31" s="10" t="inlineStr">
        <is>
          <t>Circle</t>
        </is>
      </c>
      <c r="E31" s="10" t="inlineStr">
        <is>
          <t>Glass Bottle</t>
        </is>
      </c>
      <c r="F31" s="10" t="inlineStr">
        <is>
          <t>50 ml (1.69 oz)</t>
        </is>
      </c>
      <c r="G31" s="10" t="inlineStr">
        <is>
          <t>Reducer</t>
        </is>
      </c>
      <c r="H31" s="10" t="n">
        <v>270</v>
      </c>
      <c r="I31" s="11" t="n">
        <v>2.07</v>
      </c>
      <c r="J31" s="11" t="inlineStr"/>
      <c r="K31" s="11" t="n">
        <v>2.52</v>
      </c>
      <c r="L31" s="11">
        <f>K31-I31</f>
        <v/>
      </c>
      <c r="M31" s="12">
        <f>IFERROR(K31/I31,0)</f>
        <v/>
      </c>
      <c r="N31" s="13" t="inlineStr">
        <is>
          <t>Needs decision (real inversion)</t>
        </is>
      </c>
      <c r="O31" s="11" t="inlineStr"/>
      <c r="P31" s="8" t="n"/>
      <c r="Q31" s="9" t="n"/>
    </row>
    <row r="32">
      <c r="A32" s="10" t="inlineStr">
        <is>
          <t>GB-CIR-CLR-50ML-RDC-SSLV</t>
        </is>
      </c>
      <c r="B32" s="10" t="inlineStr">
        <is>
          <t>GBCrcl50RdcrShnSl</t>
        </is>
      </c>
      <c r="C32" s="10" t="inlineStr">
        <is>
          <t>Circle design 50 ml, 1.7oz  clear glass bottle  with reducer and shiny silver cap. For use with cologne, aftershave, spl</t>
        </is>
      </c>
      <c r="D32" s="10" t="inlineStr">
        <is>
          <t>Circle</t>
        </is>
      </c>
      <c r="E32" s="10" t="inlineStr">
        <is>
          <t>Glass Bottle</t>
        </is>
      </c>
      <c r="F32" s="10" t="inlineStr">
        <is>
          <t>50 ml (1.69 oz)</t>
        </is>
      </c>
      <c r="G32" s="10" t="inlineStr">
        <is>
          <t>Reducer</t>
        </is>
      </c>
      <c r="H32" s="10" t="n">
        <v>270</v>
      </c>
      <c r="I32" s="11" t="n">
        <v>1.57</v>
      </c>
      <c r="J32" s="11" t="inlineStr"/>
      <c r="K32" s="11" t="n">
        <v>1.85</v>
      </c>
      <c r="L32" s="11">
        <f>K32-I32</f>
        <v/>
      </c>
      <c r="M32" s="12">
        <f>IFERROR(K32/I32,0)</f>
        <v/>
      </c>
      <c r="N32" s="13" t="inlineStr">
        <is>
          <t>Needs decision (real inversion)</t>
        </is>
      </c>
      <c r="O32" s="11" t="inlineStr"/>
      <c r="P32" s="8" t="n"/>
      <c r="Q32" s="9" t="n"/>
    </row>
    <row r="33">
      <c r="A33" s="10" t="inlineStr">
        <is>
          <t>GB-CIR-CLR-50ML-RDC-MSLV-T</t>
        </is>
      </c>
      <c r="B33" s="10" t="inlineStr">
        <is>
          <t>GBCrcl50RdcrMtSlTall</t>
        </is>
      </c>
      <c r="C33" s="10" t="inlineStr">
        <is>
          <t>Circle design 50 ml, 1.7oz  clear glass bottle  with reducer and tall silver matte cap. For use with cologne, aftershave</t>
        </is>
      </c>
      <c r="D33" s="10" t="inlineStr">
        <is>
          <t>Circle</t>
        </is>
      </c>
      <c r="E33" s="10" t="inlineStr">
        <is>
          <t>Glass Bottle</t>
        </is>
      </c>
      <c r="F33" s="10" t="inlineStr">
        <is>
          <t>50 ml (1.69 oz)</t>
        </is>
      </c>
      <c r="G33" s="10" t="inlineStr">
        <is>
          <t>Reducer</t>
        </is>
      </c>
      <c r="H33" s="10" t="n">
        <v>270</v>
      </c>
      <c r="I33" s="11" t="n">
        <v>1.57</v>
      </c>
      <c r="J33" s="11" t="inlineStr"/>
      <c r="K33" s="11" t="n">
        <v>1.85</v>
      </c>
      <c r="L33" s="11">
        <f>K33-I33</f>
        <v/>
      </c>
      <c r="M33" s="12">
        <f>IFERROR(K33/I33,0)</f>
        <v/>
      </c>
      <c r="N33" s="13" t="inlineStr">
        <is>
          <t>Needs decision (real inversion)</t>
        </is>
      </c>
      <c r="O33" s="11" t="inlineStr"/>
      <c r="P33" s="8" t="n"/>
      <c r="Q33" s="9" t="n"/>
    </row>
    <row r="34">
      <c r="A34" s="10" t="inlineStr">
        <is>
          <t>GB-CIR-FRS-100ML-RDC-SSLV</t>
        </is>
      </c>
      <c r="B34" s="10" t="inlineStr">
        <is>
          <t>GBCrclFrst100RdcrShnSl</t>
        </is>
      </c>
      <c r="C34" s="10" t="inlineStr">
        <is>
          <t xml:space="preserve">Circle design 100 ml, 3 1/2oz frosted glass bottle with reducer and shiny silver cap. For use with cologne, aftershave, </t>
        </is>
      </c>
      <c r="D34" s="10" t="inlineStr">
        <is>
          <t>Circle</t>
        </is>
      </c>
      <c r="E34" s="10" t="inlineStr">
        <is>
          <t>Glass Bottle</t>
        </is>
      </c>
      <c r="F34" s="10" t="inlineStr">
        <is>
          <t>100 ml (3.38 oz)</t>
        </is>
      </c>
      <c r="G34" s="10" t="inlineStr">
        <is>
          <t>Reducer</t>
        </is>
      </c>
      <c r="H34" s="10" t="n">
        <v>270</v>
      </c>
      <c r="I34" s="11" t="n">
        <v>2.52</v>
      </c>
      <c r="J34" s="11" t="inlineStr"/>
      <c r="K34" s="11" t="n">
        <v>2.81</v>
      </c>
      <c r="L34" s="11">
        <f>K34-I34</f>
        <v/>
      </c>
      <c r="M34" s="12">
        <f>IFERROR(K34/I34,0)</f>
        <v/>
      </c>
      <c r="N34" s="13" t="inlineStr">
        <is>
          <t>Needs decision (real inversion)</t>
        </is>
      </c>
      <c r="O34" s="11" t="inlineStr"/>
      <c r="P34" s="8" t="n"/>
      <c r="Q34" s="9" t="n"/>
    </row>
    <row r="35">
      <c r="A35" s="10" t="inlineStr">
        <is>
          <t>GB-CIR-FRS-100ML-RDC-SGLD</t>
        </is>
      </c>
      <c r="B35" s="10" t="inlineStr">
        <is>
          <t>GBCrclFrst100RdcrShnGl</t>
        </is>
      </c>
      <c r="C35" s="10" t="inlineStr">
        <is>
          <t>Circle design 100 ml, 3 1/2oz frosted glass bottle with reducer and shiny gold cap. For use with cologne, aftershave, sp</t>
        </is>
      </c>
      <c r="D35" s="10" t="inlineStr">
        <is>
          <t>Circle</t>
        </is>
      </c>
      <c r="E35" s="10" t="inlineStr">
        <is>
          <t>Glass Bottle</t>
        </is>
      </c>
      <c r="F35" s="10" t="inlineStr">
        <is>
          <t>100 ml (3.38 oz)</t>
        </is>
      </c>
      <c r="G35" s="10" t="inlineStr">
        <is>
          <t>Reducer</t>
        </is>
      </c>
      <c r="H35" s="10" t="n">
        <v>270</v>
      </c>
      <c r="I35" s="11" t="n">
        <v>2.52</v>
      </c>
      <c r="J35" s="11" t="inlineStr"/>
      <c r="K35" s="11" t="n">
        <v>2.81</v>
      </c>
      <c r="L35" s="11">
        <f>K35-I35</f>
        <v/>
      </c>
      <c r="M35" s="12">
        <f>IFERROR(K35/I35,0)</f>
        <v/>
      </c>
      <c r="N35" s="13" t="inlineStr">
        <is>
          <t>Needs decision (real inversion)</t>
        </is>
      </c>
      <c r="O35" s="11" t="inlineStr"/>
      <c r="P35" s="8" t="n"/>
      <c r="Q35" s="9" t="n"/>
    </row>
    <row r="36">
      <c r="A36" s="10" t="inlineStr">
        <is>
          <t>GB-CIR-FRS-100ML-RDC-SBLK</t>
        </is>
      </c>
      <c r="B36" s="10" t="inlineStr">
        <is>
          <t>GBCrclFrst100RdcrShnBlk</t>
        </is>
      </c>
      <c r="C36" s="10" t="inlineStr">
        <is>
          <t>Circle design 100 ml, 3 1/2oz frosted glass bottle with reducer and black shiny cap. For use with cologne, aftershave, s</t>
        </is>
      </c>
      <c r="D36" s="10" t="inlineStr">
        <is>
          <t>Circle</t>
        </is>
      </c>
      <c r="E36" s="10" t="inlineStr">
        <is>
          <t>Glass Bottle</t>
        </is>
      </c>
      <c r="F36" s="10" t="inlineStr">
        <is>
          <t>100 ml (3.38 oz)</t>
        </is>
      </c>
      <c r="G36" s="10" t="inlineStr">
        <is>
          <t>Reducer</t>
        </is>
      </c>
      <c r="H36" s="10" t="n">
        <v>270</v>
      </c>
      <c r="I36" s="11" t="n">
        <v>2.52</v>
      </c>
      <c r="J36" s="11" t="inlineStr"/>
      <c r="K36" s="11" t="n">
        <v>2.81</v>
      </c>
      <c r="L36" s="11">
        <f>K36-I36</f>
        <v/>
      </c>
      <c r="M36" s="12">
        <f>IFERROR(K36/I36,0)</f>
        <v/>
      </c>
      <c r="N36" s="13" t="inlineStr">
        <is>
          <t>Needs decision (real inversion)</t>
        </is>
      </c>
      <c r="O36" s="11" t="inlineStr"/>
      <c r="P36" s="8" t="n"/>
      <c r="Q36" s="9" t="n"/>
    </row>
    <row r="37">
      <c r="A37" s="10" t="inlineStr">
        <is>
          <t>GB-CIR-FRS-100ML-RDC-MSLV-T</t>
        </is>
      </c>
      <c r="B37" s="10" t="inlineStr">
        <is>
          <t>GBCrclFrst100RdcrMtSlTall</t>
        </is>
      </c>
      <c r="C37" s="10" t="inlineStr">
        <is>
          <t>Circle design 100 ml, 3 1/2oz frosted glass bottle with reducer and tall silver matte cap. For use with cologne, aftersh</t>
        </is>
      </c>
      <c r="D37" s="10" t="inlineStr">
        <is>
          <t>Circle</t>
        </is>
      </c>
      <c r="E37" s="10" t="inlineStr">
        <is>
          <t>Glass Bottle</t>
        </is>
      </c>
      <c r="F37" s="10" t="inlineStr">
        <is>
          <t>100 ml (3.38 oz)</t>
        </is>
      </c>
      <c r="G37" s="10" t="inlineStr">
        <is>
          <t>Reducer</t>
        </is>
      </c>
      <c r="H37" s="10" t="n">
        <v>270</v>
      </c>
      <c r="I37" s="11" t="n">
        <v>2.52</v>
      </c>
      <c r="J37" s="11" t="inlineStr"/>
      <c r="K37" s="11" t="n">
        <v>2.81</v>
      </c>
      <c r="L37" s="11">
        <f>K37-I37</f>
        <v/>
      </c>
      <c r="M37" s="12">
        <f>IFERROR(K37/I37,0)</f>
        <v/>
      </c>
      <c r="N37" s="13" t="inlineStr">
        <is>
          <t>Needs decision (real inversion)</t>
        </is>
      </c>
      <c r="O37" s="11" t="inlineStr"/>
      <c r="P37" s="8" t="n"/>
      <c r="Q37" s="9" t="n"/>
    </row>
    <row r="38">
      <c r="A38" s="10" t="inlineStr">
        <is>
          <t>GB-CIR-FRS-100ML-RDC-MSLV</t>
        </is>
      </c>
      <c r="B38" s="10" t="inlineStr">
        <is>
          <t>GBCrclFrst100RdcrMtSl</t>
        </is>
      </c>
      <c r="C38" s="10" t="inlineStr">
        <is>
          <t xml:space="preserve">Circle design 100 ml, 3 1/2oz frosted glass bottle with reducer and silver matte cap. For use with cologne, aftershave, </t>
        </is>
      </c>
      <c r="D38" s="10" t="inlineStr">
        <is>
          <t>Circle</t>
        </is>
      </c>
      <c r="E38" s="10" t="inlineStr">
        <is>
          <t>Glass Bottle</t>
        </is>
      </c>
      <c r="F38" s="10" t="inlineStr">
        <is>
          <t>100 ml (3.38 oz)</t>
        </is>
      </c>
      <c r="G38" s="10" t="inlineStr">
        <is>
          <t>Reducer</t>
        </is>
      </c>
      <c r="H38" s="10" t="n">
        <v>270</v>
      </c>
      <c r="I38" s="11" t="n">
        <v>2.52</v>
      </c>
      <c r="J38" s="11" t="inlineStr"/>
      <c r="K38" s="11" t="n">
        <v>2.81</v>
      </c>
      <c r="L38" s="11">
        <f>K38-I38</f>
        <v/>
      </c>
      <c r="M38" s="12">
        <f>IFERROR(K38/I38,0)</f>
        <v/>
      </c>
      <c r="N38" s="13" t="inlineStr">
        <is>
          <t>Needs decision (real inversion)</t>
        </is>
      </c>
      <c r="O38" s="11" t="inlineStr"/>
      <c r="P38" s="8" t="n"/>
      <c r="Q38" s="9" t="n"/>
    </row>
    <row r="39">
      <c r="A39" s="10" t="inlineStr">
        <is>
          <t>GB-ELG-CLR-60ML-RDC-PNK</t>
        </is>
      </c>
      <c r="B39" s="10" t="inlineStr">
        <is>
          <t>GBElg60RdcrPnkLthr</t>
        </is>
      </c>
      <c r="C39" s="10" t="inlineStr">
        <is>
          <t>Elegant design 60 ml, 2oz  clear glass bottle  with reducer and pink faux leather cap. For use with cologne, aftershave,</t>
        </is>
      </c>
      <c r="D39" s="10" t="inlineStr">
        <is>
          <t>Elegant</t>
        </is>
      </c>
      <c r="E39" s="10" t="inlineStr">
        <is>
          <t>Glass Bottle</t>
        </is>
      </c>
      <c r="F39" s="10" t="inlineStr">
        <is>
          <t>60 ml (2.03 oz)</t>
        </is>
      </c>
      <c r="G39" s="10" t="inlineStr">
        <is>
          <t>Reducer</t>
        </is>
      </c>
      <c r="H39" s="10" t="n">
        <v>214</v>
      </c>
      <c r="I39" s="11" t="n">
        <v>2</v>
      </c>
      <c r="J39" s="11" t="inlineStr"/>
      <c r="K39" s="11" t="n">
        <v>2.19</v>
      </c>
      <c r="L39" s="11">
        <f>K39-I39</f>
        <v/>
      </c>
      <c r="M39" s="12">
        <f>IFERROR(K39/I39,0)</f>
        <v/>
      </c>
      <c r="N39" s="13" t="inlineStr">
        <is>
          <t>Needs decision (real inversion)</t>
        </is>
      </c>
      <c r="O39" s="11" t="inlineStr"/>
      <c r="P39" s="8" t="n"/>
      <c r="Q39" s="9" t="n"/>
    </row>
    <row r="40">
      <c r="A40" s="10" t="inlineStr">
        <is>
          <t>GB-ELG-CLR-60ML-RDC</t>
        </is>
      </c>
      <c r="B40" s="10" t="inlineStr">
        <is>
          <t>GBElg60RdcrLBrwnLthr</t>
        </is>
      </c>
      <c r="C40" s="10" t="inlineStr">
        <is>
          <t>Elegant design 60 ml, 2oz  clear glass bottle  with reducer and light brown faux leather cap. For use with cologne, afte</t>
        </is>
      </c>
      <c r="D40" s="10" t="inlineStr">
        <is>
          <t>Elegant</t>
        </is>
      </c>
      <c r="E40" s="10" t="inlineStr">
        <is>
          <t>Glass Bottle</t>
        </is>
      </c>
      <c r="F40" s="10" t="inlineStr">
        <is>
          <t>60 ml (2.03 oz)</t>
        </is>
      </c>
      <c r="G40" s="10" t="inlineStr">
        <is>
          <t>Reducer</t>
        </is>
      </c>
      <c r="H40" s="10" t="n">
        <v>214</v>
      </c>
      <c r="I40" s="11" t="n">
        <v>2</v>
      </c>
      <c r="J40" s="11" t="inlineStr"/>
      <c r="K40" s="11" t="n">
        <v>2.19</v>
      </c>
      <c r="L40" s="11">
        <f>K40-I40</f>
        <v/>
      </c>
      <c r="M40" s="12">
        <f>IFERROR(K40/I40,0)</f>
        <v/>
      </c>
      <c r="N40" s="13" t="inlineStr">
        <is>
          <t>Needs decision (real inversion)</t>
        </is>
      </c>
      <c r="O40" s="11" t="inlineStr"/>
      <c r="P40" s="8" t="n"/>
      <c r="Q40" s="9" t="n"/>
    </row>
    <row r="41">
      <c r="A41" s="10" t="inlineStr">
        <is>
          <t>GB-CIR-CLR-100ML-RDC-SBLK-T</t>
        </is>
      </c>
      <c r="B41" s="10" t="inlineStr">
        <is>
          <t>GBCrcl100RdcrShnBlkTall</t>
        </is>
      </c>
      <c r="C41" s="10" t="inlineStr">
        <is>
          <t>Circle design 100 ml, 3 1/2oz  clear glass bottle  with reducer and tall black shiny cap. For use with cologne, aftersha</t>
        </is>
      </c>
      <c r="D41" s="10" t="inlineStr">
        <is>
          <t>Circle</t>
        </is>
      </c>
      <c r="E41" s="10" t="inlineStr">
        <is>
          <t>Glass Bottle</t>
        </is>
      </c>
      <c r="F41" s="10" t="inlineStr">
        <is>
          <t>100 ml (3.38 oz)</t>
        </is>
      </c>
      <c r="G41" s="10" t="inlineStr">
        <is>
          <t>Reducer</t>
        </is>
      </c>
      <c r="H41" s="10" t="n">
        <v>270</v>
      </c>
      <c r="I41" s="11" t="n">
        <v>2.02</v>
      </c>
      <c r="J41" s="11" t="inlineStr"/>
      <c r="K41" s="11" t="n">
        <v>2.19</v>
      </c>
      <c r="L41" s="11">
        <f>K41-I41</f>
        <v/>
      </c>
      <c r="M41" s="12">
        <f>IFERROR(K41/I41,0)</f>
        <v/>
      </c>
      <c r="N41" s="13" t="inlineStr">
        <is>
          <t>Needs decision (real inversion)</t>
        </is>
      </c>
      <c r="O41" s="11" t="inlineStr"/>
      <c r="P41" s="8" t="n"/>
      <c r="Q41" s="9" t="n"/>
    </row>
    <row r="42">
      <c r="A42" s="10" t="inlineStr">
        <is>
          <t>GB-CIR-CLR-100ML-RDC-MSLV</t>
        </is>
      </c>
      <c r="B42" s="10" t="inlineStr">
        <is>
          <t>GBCrcl100RdcrMtSl</t>
        </is>
      </c>
      <c r="C42" s="10" t="inlineStr">
        <is>
          <t xml:space="preserve">Circle design 100 ml, 3 1/2oz  clear glass bottle  with reducer and silver matte cap. For use with cologne, aftershave, </t>
        </is>
      </c>
      <c r="D42" s="10" t="inlineStr">
        <is>
          <t>Circle</t>
        </is>
      </c>
      <c r="E42" s="10" t="inlineStr">
        <is>
          <t>Glass Bottle</t>
        </is>
      </c>
      <c r="F42" s="10" t="inlineStr">
        <is>
          <t>100 ml (3.38 oz)</t>
        </is>
      </c>
      <c r="G42" s="10" t="inlineStr">
        <is>
          <t>Reducer</t>
        </is>
      </c>
      <c r="H42" s="10" t="n">
        <v>270</v>
      </c>
      <c r="I42" s="11" t="n">
        <v>2.02</v>
      </c>
      <c r="J42" s="11" t="inlineStr"/>
      <c r="K42" s="11" t="n">
        <v>2.19</v>
      </c>
      <c r="L42" s="11">
        <f>K42-I42</f>
        <v/>
      </c>
      <c r="M42" s="12">
        <f>IFERROR(K42/I42,0)</f>
        <v/>
      </c>
      <c r="N42" s="13" t="inlineStr">
        <is>
          <t>Needs decision (real inversion)</t>
        </is>
      </c>
      <c r="O42" s="11" t="inlineStr"/>
      <c r="P42" s="8" t="n"/>
      <c r="Q42" s="9" t="n"/>
    </row>
    <row r="43">
      <c r="A43" s="10" t="inlineStr">
        <is>
          <t>GB-CIR-CLR-100ML-RDC-WHT</t>
        </is>
      </c>
      <c r="B43" s="10" t="inlineStr">
        <is>
          <t>GBCrcl100RdcrWht</t>
        </is>
      </c>
      <c r="C43" s="10" t="inlineStr">
        <is>
          <t xml:space="preserve">Circle design 100 ml, 3 1/2oz  clear glass bottle  with reducer and white cap. For use with cologne, aftershave, splash </t>
        </is>
      </c>
      <c r="D43" s="10" t="inlineStr">
        <is>
          <t>Circle</t>
        </is>
      </c>
      <c r="E43" s="10" t="inlineStr">
        <is>
          <t>Glass Bottle</t>
        </is>
      </c>
      <c r="F43" s="10" t="inlineStr">
        <is>
          <t>100 ml (3.38 oz)</t>
        </is>
      </c>
      <c r="G43" s="10" t="inlineStr">
        <is>
          <t>Reducer</t>
        </is>
      </c>
      <c r="H43" s="10" t="n">
        <v>270</v>
      </c>
      <c r="I43" s="11" t="n">
        <v>2.02</v>
      </c>
      <c r="J43" s="11" t="inlineStr"/>
      <c r="K43" s="11" t="n">
        <v>2.19</v>
      </c>
      <c r="L43" s="11">
        <f>K43-I43</f>
        <v/>
      </c>
      <c r="M43" s="12">
        <f>IFERROR(K43/I43,0)</f>
        <v/>
      </c>
      <c r="N43" s="13" t="inlineStr">
        <is>
          <t>Needs decision (real inversion)</t>
        </is>
      </c>
      <c r="O43" s="11" t="inlineStr"/>
      <c r="P43" s="8" t="n"/>
      <c r="Q43" s="9" t="n"/>
    </row>
    <row r="44">
      <c r="A44" s="10" t="inlineStr">
        <is>
          <t>GB-CIR-FRS-50ML-RDC-01</t>
        </is>
      </c>
      <c r="B44" s="10" t="inlineStr">
        <is>
          <t>GBCrclFrst50RdcrBrwnLthr</t>
        </is>
      </c>
      <c r="C44" s="10" t="inlineStr">
        <is>
          <t>Circle design 50 ml, 1.7oz  frosted glass bottle  with reducer and brown faux leather cap. For use with cologne, aftersh</t>
        </is>
      </c>
      <c r="D44" s="10" t="inlineStr">
        <is>
          <t>Circle</t>
        </is>
      </c>
      <c r="E44" s="10" t="inlineStr">
        <is>
          <t>Glass Bottle</t>
        </is>
      </c>
      <c r="F44" s="10" t="inlineStr">
        <is>
          <t>50 ml (1.69 oz)</t>
        </is>
      </c>
      <c r="G44" s="10" t="inlineStr">
        <is>
          <t>Reducer</t>
        </is>
      </c>
      <c r="H44" s="10" t="n">
        <v>270</v>
      </c>
      <c r="I44" s="11" t="n">
        <v>2.35</v>
      </c>
      <c r="J44" s="11" t="inlineStr"/>
      <c r="K44" s="11" t="n">
        <v>2.52</v>
      </c>
      <c r="L44" s="11">
        <f>K44-I44</f>
        <v/>
      </c>
      <c r="M44" s="12">
        <f>IFERROR(K44/I44,0)</f>
        <v/>
      </c>
      <c r="N44" s="13" t="inlineStr">
        <is>
          <t>Needs decision (real inversion)</t>
        </is>
      </c>
      <c r="O44" s="11" t="inlineStr"/>
      <c r="P44" s="8" t="n"/>
      <c r="Q44" s="9" t="n"/>
    </row>
    <row r="45">
      <c r="A45" s="10" t="inlineStr">
        <is>
          <t>GB-CIR-FRS-50ML-RDC-02</t>
        </is>
      </c>
      <c r="B45" s="10" t="inlineStr">
        <is>
          <t>GBCrclFrst50RdcrLBrwnLthr</t>
        </is>
      </c>
      <c r="C45" s="10" t="inlineStr">
        <is>
          <t>Circle design 50 ml, 1.7oz  frosted glass bottle  with reducer and light brown faux leather cap. For use with cologne, a</t>
        </is>
      </c>
      <c r="D45" s="10" t="inlineStr">
        <is>
          <t>Circle</t>
        </is>
      </c>
      <c r="E45" s="10" t="inlineStr">
        <is>
          <t>Glass Bottle</t>
        </is>
      </c>
      <c r="F45" s="10" t="inlineStr">
        <is>
          <t>50 ml (1.69 oz)</t>
        </is>
      </c>
      <c r="G45" s="10" t="inlineStr">
        <is>
          <t>Reducer</t>
        </is>
      </c>
      <c r="H45" s="10" t="n">
        <v>270</v>
      </c>
      <c r="I45" s="11" t="n">
        <v>2.35</v>
      </c>
      <c r="J45" s="11" t="inlineStr"/>
      <c r="K45" s="11" t="n">
        <v>2.52</v>
      </c>
      <c r="L45" s="11">
        <f>K45-I45</f>
        <v/>
      </c>
      <c r="M45" s="12">
        <f>IFERROR(K45/I45,0)</f>
        <v/>
      </c>
      <c r="N45" s="13" t="inlineStr">
        <is>
          <t>Needs decision (real inversion)</t>
        </is>
      </c>
      <c r="O45" s="11" t="inlineStr"/>
      <c r="P45" s="8" t="n"/>
      <c r="Q45" s="9" t="n"/>
    </row>
    <row r="46">
      <c r="A46" s="14" t="inlineStr">
        <is>
          <t>GB-CIR-FRS-100ML-RDC-IVR</t>
        </is>
      </c>
      <c r="B46" s="14" t="inlineStr">
        <is>
          <t>GBCrclFrst100RdcrIvyLthr</t>
        </is>
      </c>
      <c r="C46" s="14" t="inlineStr">
        <is>
          <t>Circle design 100 ml, 3 1/2oz frosted glass bottle with reducer and ivory faux leather cap. For use with cologne, afters</t>
        </is>
      </c>
      <c r="D46" s="14" t="inlineStr">
        <is>
          <t>Circle</t>
        </is>
      </c>
      <c r="E46" s="14" t="inlineStr">
        <is>
          <t>Glass Bottle</t>
        </is>
      </c>
      <c r="F46" s="14" t="inlineStr">
        <is>
          <t>100 ml (3.38 oz)</t>
        </is>
      </c>
      <c r="G46" s="14" t="inlineStr">
        <is>
          <t>Reducer</t>
        </is>
      </c>
      <c r="H46" s="14" t="n">
        <v>270</v>
      </c>
      <c r="I46" s="15" t="n">
        <v>2.8</v>
      </c>
      <c r="J46" s="15" t="inlineStr"/>
      <c r="K46" s="15" t="n">
        <v>2.81</v>
      </c>
      <c r="L46" s="15">
        <f>K46-I46</f>
        <v/>
      </c>
      <c r="M46" s="16">
        <f>IFERROR(K46/I46,0)</f>
        <v/>
      </c>
      <c r="N46" s="17" t="inlineStr">
        <is>
          <t>No discount at 12</t>
        </is>
      </c>
      <c r="O46" s="15" t="inlineStr"/>
      <c r="P46" s="8" t="n"/>
      <c r="Q46" s="9" t="n"/>
    </row>
    <row r="47">
      <c r="A47" s="14" t="inlineStr">
        <is>
          <t>GB-CIR-FRS-100ML-RDC-PNK</t>
        </is>
      </c>
      <c r="B47" s="14" t="inlineStr">
        <is>
          <t>GBCrclFrst100RdcrPnkLthr</t>
        </is>
      </c>
      <c r="C47" s="14" t="inlineStr">
        <is>
          <t>Circle design 100 ml, 3 1/2oz frosted glass bottle with reducer and pink faux leather cap. For use with cologne, aftersh</t>
        </is>
      </c>
      <c r="D47" s="14" t="inlineStr">
        <is>
          <t>Circle</t>
        </is>
      </c>
      <c r="E47" s="14" t="inlineStr">
        <is>
          <t>Glass Bottle</t>
        </is>
      </c>
      <c r="F47" s="14" t="inlineStr">
        <is>
          <t>100 ml (3.38 oz)</t>
        </is>
      </c>
      <c r="G47" s="14" t="inlineStr">
        <is>
          <t>Reducer</t>
        </is>
      </c>
      <c r="H47" s="14" t="n">
        <v>270</v>
      </c>
      <c r="I47" s="15" t="n">
        <v>2.8</v>
      </c>
      <c r="J47" s="15" t="inlineStr"/>
      <c r="K47" s="15" t="n">
        <v>2.81</v>
      </c>
      <c r="L47" s="15">
        <f>K47-I47</f>
        <v/>
      </c>
      <c r="M47" s="16">
        <f>IFERROR(K47/I47,0)</f>
        <v/>
      </c>
      <c r="N47" s="17" t="inlineStr">
        <is>
          <t>No discount at 12</t>
        </is>
      </c>
      <c r="O47" s="15" t="inlineStr"/>
      <c r="P47" s="8" t="n"/>
      <c r="Q47" s="9" t="n"/>
    </row>
    <row r="48">
      <c r="A48" s="14" t="inlineStr">
        <is>
          <t>GB-CIR-FRS-100ML-RDC</t>
        </is>
      </c>
      <c r="B48" s="14" t="inlineStr">
        <is>
          <t>GBCrclFrst100RdcrBrwnLthr</t>
        </is>
      </c>
      <c r="C48" s="14" t="inlineStr">
        <is>
          <t>Circle design 100 ml, 3 1/2oz frosted glass bottle with reducer and brown faux leather cap. For use with cologne, afters</t>
        </is>
      </c>
      <c r="D48" s="14" t="inlineStr">
        <is>
          <t>Circle</t>
        </is>
      </c>
      <c r="E48" s="14" t="inlineStr">
        <is>
          <t>Glass Bottle</t>
        </is>
      </c>
      <c r="F48" s="14" t="inlineStr">
        <is>
          <t>100 ml (3.38 oz)</t>
        </is>
      </c>
      <c r="G48" s="14" t="inlineStr">
        <is>
          <t>Reducer</t>
        </is>
      </c>
      <c r="H48" s="14" t="n">
        <v>270</v>
      </c>
      <c r="I48" s="15" t="n">
        <v>2.8</v>
      </c>
      <c r="J48" s="15" t="inlineStr"/>
      <c r="K48" s="15" t="n">
        <v>2.81</v>
      </c>
      <c r="L48" s="15">
        <f>K48-I48</f>
        <v/>
      </c>
      <c r="M48" s="16">
        <f>IFERROR(K48/I48,0)</f>
        <v/>
      </c>
      <c r="N48" s="17" t="inlineStr">
        <is>
          <t>No discount at 12</t>
        </is>
      </c>
      <c r="O48" s="15" t="inlineStr"/>
      <c r="P48" s="8" t="n"/>
      <c r="Q48" s="9" t="n"/>
    </row>
    <row r="49">
      <c r="A49" s="14" t="inlineStr">
        <is>
          <t>GB-CIR-FRS-100ML-RDC-BLK</t>
        </is>
      </c>
      <c r="B49" s="14" t="inlineStr">
        <is>
          <t>GBCrclFrst100RdcrBlkLthr</t>
        </is>
      </c>
      <c r="C49" s="14" t="inlineStr">
        <is>
          <t>Circle design 100 ml, 3 1/2oz frosted glass bottle with reducer and black faux leather cap. For use with cologne, afters</t>
        </is>
      </c>
      <c r="D49" s="14" t="inlineStr">
        <is>
          <t>Circle</t>
        </is>
      </c>
      <c r="E49" s="14" t="inlineStr">
        <is>
          <t>Glass Bottle</t>
        </is>
      </c>
      <c r="F49" s="14" t="inlineStr">
        <is>
          <t>100 ml (3.38 oz)</t>
        </is>
      </c>
      <c r="G49" s="14" t="inlineStr">
        <is>
          <t>Reducer</t>
        </is>
      </c>
      <c r="H49" s="14" t="n">
        <v>270</v>
      </c>
      <c r="I49" s="15" t="n">
        <v>2.8</v>
      </c>
      <c r="J49" s="15" t="inlineStr"/>
      <c r="K49" s="15" t="n">
        <v>2.81</v>
      </c>
      <c r="L49" s="15">
        <f>K49-I49</f>
        <v/>
      </c>
      <c r="M49" s="16">
        <f>IFERROR(K49/I49,0)</f>
        <v/>
      </c>
      <c r="N49" s="17" t="inlineStr">
        <is>
          <t>No discount at 12</t>
        </is>
      </c>
      <c r="O49" s="15" t="inlineStr"/>
      <c r="P49" s="8" t="n"/>
      <c r="Q49" s="9" t="n"/>
    </row>
    <row r="51">
      <c r="A51" s="18" t="inlineStr">
        <is>
          <t>EXAMPLE (do not edit)</t>
        </is>
      </c>
      <c r="P51" s="19" t="n">
        <v>0.855</v>
      </c>
      <c r="Q51" s="20" t="inlineStr">
        <is>
          <t>Confirmed: stored value was the 12-unit total; per-unit is 0.855 (5% off).</t>
        </is>
      </c>
    </row>
    <row r="53">
      <c r="A53" s="18" t="inlineStr">
        <is>
          <t>SUMMARY</t>
        </is>
      </c>
    </row>
    <row r="54">
      <c r="A54" s="21" t="inlineStr">
        <is>
          <t>SKUs affected</t>
        </is>
      </c>
      <c r="C54" s="18">
        <f>COUNTA(A5:A49)</f>
        <v/>
      </c>
    </row>
    <row r="55">
      <c r="A55" s="21" t="inlineStr">
        <is>
          <t>Units error - mechanical fix (divide by 12)</t>
        </is>
      </c>
      <c r="C55" s="18">
        <f>COUNTIF(N5:N49,"Units error*")</f>
        <v/>
      </c>
    </row>
    <row r="56">
      <c r="A56" s="21" t="inlineStr">
        <is>
          <t>Genuine inversion - needs a pricing decision</t>
        </is>
      </c>
      <c r="C56" s="18">
        <f>COUNTIF(N5:N49,"Needs decision*")</f>
        <v/>
      </c>
    </row>
    <row r="57">
      <c r="A57" s="21" t="inlineStr">
        <is>
          <t>No discount at 12 - confirm intent</t>
        </is>
      </c>
      <c r="C57" s="18">
        <f>COUNTIF(N5:N49,"No discount*")</f>
        <v/>
      </c>
    </row>
    <row r="58">
      <c r="A58" s="21" t="inlineStr">
        <is>
          <t>Largest overshoot ($)</t>
        </is>
      </c>
      <c r="C58" s="22">
        <f>MAX(L5:L49)</f>
        <v/>
      </c>
    </row>
    <row r="59">
      <c r="A59" s="21" t="inlineStr">
        <is>
          <t>Confirmed by reviewer</t>
        </is>
      </c>
      <c r="C59" s="18">
        <f>COUNT(P5:P49)</f>
        <v/>
      </c>
    </row>
    <row r="60">
      <c r="A60" s="21" t="inlineStr">
        <is>
          <t>Still outstanding</t>
        </is>
      </c>
      <c r="C60" s="18">
        <f>COUNTA(A5:A49)-COUNT(P5:P49)</f>
        <v/>
      </c>
    </row>
  </sheetData>
  <autoFilter ref="A4:Q49"/>
  <mergeCells count="1">
    <mergeCell ref="A2:Q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24" customWidth="1" min="3" max="3"/>
    <col width="12" customWidth="1" min="4" max="4"/>
    <col width="74" customWidth="1" min="5" max="5"/>
  </cols>
  <sheetData>
    <row r="1">
      <c r="A1" s="1" t="inlineStr">
        <is>
          <t>Grace Accuracy Audit — production status</t>
        </is>
      </c>
    </row>
    <row r="2">
      <c r="A2" s="23" t="inlineStr">
        <is>
          <t>Measured against live production Convex (precise-raccoon-123) on 2026-08-06.</t>
        </is>
      </c>
    </row>
    <row r="4">
      <c r="A4" s="24" t="inlineStr">
        <is>
          <t>Area</t>
        </is>
      </c>
      <c r="B4" s="24" t="inlineStr">
        <is>
          <t>Before</t>
        </is>
      </c>
      <c r="C4" s="24" t="inlineStr">
        <is>
          <t>After</t>
        </is>
      </c>
      <c r="D4" s="24" t="inlineStr">
        <is>
          <t>Status</t>
        </is>
      </c>
      <c r="E4" s="24" t="inlineStr">
        <is>
          <t>Notes</t>
        </is>
      </c>
    </row>
    <row r="5">
      <c r="A5" s="25" t="inlineStr">
        <is>
          <t>Overall audit score</t>
        </is>
      </c>
      <c r="B5" s="25" t="inlineStr">
        <is>
          <t>63 / 100</t>
        </is>
      </c>
      <c r="C5" s="26" t="inlineStr">
        <is>
          <t>95 / 100</t>
        </is>
      </c>
      <c r="D5" s="27" t="inlineStr">
        <is>
          <t>GREEN</t>
        </is>
      </c>
      <c r="E5" s="25" t="inlineStr">
        <is>
          <t>22 scenarios, machine-graded against live catalog data.</t>
        </is>
      </c>
    </row>
    <row r="6">
      <c r="A6" s="25" t="inlineStr">
        <is>
          <t>Exact-SKU retrieval</t>
        </is>
      </c>
      <c r="B6" s="25" t="inlineStr">
        <is>
          <t>27%</t>
        </is>
      </c>
      <c r="C6" s="26" t="inlineStr">
        <is>
          <t>100%</t>
        </is>
      </c>
      <c r="D6" s="27" t="inlineStr">
        <is>
          <t>GREEN</t>
        </is>
      </c>
      <c r="E6" s="25" t="inlineStr">
        <is>
          <t>212/212 production SKUs resolved via getProductBySku.</t>
        </is>
      </c>
    </row>
    <row r="7">
      <c r="A7" s="25" t="inlineStr">
        <is>
          <t>Convex tool access</t>
        </is>
      </c>
      <c r="B7" s="25" t="inlineStr">
        <is>
          <t>partial</t>
        </is>
      </c>
      <c r="C7" s="26" t="inlineStr">
        <is>
          <t>all 8 tools</t>
        </is>
      </c>
      <c r="D7" s="27" t="inlineStr">
        <is>
          <t>GREEN</t>
        </is>
      </c>
      <c r="E7" s="25" t="inlineStr">
        <is>
          <t>Verified live on the production gateway; 0 execution errors.</t>
        </is>
      </c>
    </row>
    <row r="8">
      <c r="A8" s="25" t="inlineStr">
        <is>
          <t>Tool-call execution</t>
        </is>
      </c>
      <c r="B8" s="25" t="inlineStr">
        <is>
          <t>n/a</t>
        </is>
      </c>
      <c r="C8" s="26" t="inlineStr">
        <is>
          <t>67 calls, 0 errors</t>
        </is>
      </c>
      <c r="D8" s="27" t="inlineStr">
        <is>
          <t>GREEN</t>
        </is>
      </c>
      <c r="E8" s="25" t="inlineStr">
        <is>
          <t>53 live + 14 stubbed UI tools across production runs.</t>
        </is>
      </c>
    </row>
    <row r="9">
      <c r="A9" s="25" t="inlineStr">
        <is>
          <t>Policy answers</t>
        </is>
      </c>
      <c r="B9" s="25" t="inlineStr">
        <is>
          <t>fabricated</t>
        </is>
      </c>
      <c r="C9" s="26" t="inlineStr">
        <is>
          <t>verbatim from source</t>
        </is>
      </c>
      <c r="D9" s="27" t="inlineStr">
        <is>
          <t>GREEN</t>
        </is>
      </c>
      <c r="E9" s="25" t="inlineStr">
        <is>
          <t>getPolicy returns published text; 7-day and 30-day windows pinned.</t>
        </is>
      </c>
    </row>
    <row r="10">
      <c r="A10" s="25" t="inlineStr">
        <is>
          <t>Critical hallucinations</t>
        </is>
      </c>
      <c r="B10" s="25" t="inlineStr">
        <is>
          <t>2</t>
        </is>
      </c>
      <c r="C10" s="26" t="inlineStr">
        <is>
          <t>0</t>
        </is>
      </c>
      <c r="D10" s="27" t="inlineStr">
        <is>
          <t>GREEN</t>
        </is>
      </c>
      <c r="E10" s="25" t="inlineStr">
        <is>
          <t>Price misattribution and invented damage window both closed.</t>
        </is>
      </c>
    </row>
    <row r="11">
      <c r="A11" s="25" t="inlineStr">
        <is>
          <t>Blank replies</t>
        </is>
      </c>
      <c r="B11" s="25" t="inlineStr">
        <is>
          <t>1</t>
        </is>
      </c>
      <c r="C11" s="26" t="inlineStr">
        <is>
          <t>0</t>
        </is>
      </c>
      <c r="D11" s="27" t="inlineStr">
        <is>
          <t>GREEN</t>
        </is>
      </c>
      <c r="E11" s="25" t="inlineStr">
        <is>
          <t>Search loops now terminate and always answer.</t>
        </is>
      </c>
    </row>
    <row r="12">
      <c r="A12" s="25" t="inlineStr">
        <is>
          <t>Volume pricing data</t>
        </is>
      </c>
      <c r="B12" s="25" t="inlineStr">
        <is>
          <t>45 inverted</t>
        </is>
      </c>
      <c r="C12" s="26" t="inlineStr">
        <is>
          <t>45 inverted</t>
        </is>
      </c>
      <c r="D12" s="28" t="inlineStr">
        <is>
          <t>RED</t>
        </is>
      </c>
      <c r="E12" s="25" t="inlineStr">
        <is>
          <t>UNRESOLVED — see the Price Reconciliation sheet.</t>
        </is>
      </c>
    </row>
    <row r="13">
      <c r="A13" s="25" t="inlineStr">
        <is>
          <t>Dev/prod SKU parity</t>
        </is>
      </c>
      <c r="B13" s="25" t="inlineStr">
        <is>
          <t>155 dev-only</t>
        </is>
      </c>
      <c r="C13" s="26" t="inlineStr">
        <is>
          <t>155 dev-only</t>
        </is>
      </c>
      <c r="D13" s="29" t="inlineStr">
        <is>
          <t>AMBER</t>
        </is>
      </c>
      <c r="E13" s="25" t="inlineStr">
        <is>
          <t>Customers cannot reach 155 SKUs that exist on dev.</t>
        </is>
      </c>
    </row>
    <row r="14">
      <c r="A14" s="25" t="inlineStr">
        <is>
          <t>Test row in production</t>
        </is>
      </c>
      <c r="B14" s="25" t="inlineStr">
        <is>
          <t>present</t>
        </is>
      </c>
      <c r="C14" s="26" t="inlineStr">
        <is>
          <t>present</t>
        </is>
      </c>
      <c r="D14" s="29" t="inlineStr">
        <is>
          <t>AMBER</t>
        </is>
      </c>
      <c r="E14" s="25" t="inlineStr">
        <is>
          <t>HMAC-TEST-ONLY still live; needs a delete approval.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>
      <c r="A1" s="1" t="inlineStr">
        <is>
          <t>Legend, method, and assumptions</t>
        </is>
      </c>
    </row>
    <row r="3">
      <c r="A3" s="18" t="inlineStr">
        <is>
          <t>COLOUR KEY</t>
        </is>
      </c>
      <c r="B3" s="30" t="inlineStr"/>
    </row>
    <row r="4">
      <c r="A4" s="31" t="inlineStr">
        <is>
          <t>Red fill</t>
        </is>
      </c>
      <c r="B4" s="30" t="inlineStr">
        <is>
          <t>12-piece price is 2x or more the 1-piece price — almost certainly a units error (case price stored as per-unit).</t>
        </is>
      </c>
    </row>
    <row r="5">
      <c r="A5" s="32" t="inlineStr">
        <is>
          <t>Amber fill</t>
        </is>
      </c>
      <c r="B5" s="30" t="inlineStr">
        <is>
          <t>12-piece price is 1.2x-2x the 1-piece price — needs a pricing decision.</t>
        </is>
      </c>
    </row>
    <row r="6">
      <c r="A6" s="33" t="inlineStr">
        <is>
          <t>Grey band</t>
        </is>
      </c>
      <c r="B6" s="30" t="inlineStr">
        <is>
          <t>12-piece price exceeds 1-piece by less than 1.2x — confirm intent.</t>
        </is>
      </c>
    </row>
    <row r="7">
      <c r="A7" s="34" t="inlineStr">
        <is>
          <t>Yellow fill</t>
        </is>
      </c>
      <c r="B7" s="30" t="inlineStr">
        <is>
          <t>REVIEWER INPUT. Enter the corrected 12-piece price and your decision here. Blue text = entered by hand.</t>
        </is>
      </c>
    </row>
    <row r="8">
      <c r="A8" s="18" t="inlineStr"/>
      <c r="B8" s="30" t="inlineStr"/>
    </row>
    <row r="9">
      <c r="A9" s="18" t="inlineStr">
        <is>
          <t>HOW TO USE THIS SHEET</t>
        </is>
      </c>
      <c r="B9" s="30" t="inlineStr"/>
    </row>
    <row r="10">
      <c r="A10" s="21" t="inlineStr">
        <is>
          <t>1</t>
        </is>
      </c>
      <c r="B10" s="30" t="inlineStr">
        <is>
          <t>Work top-down: rows are sorted worst-first by multiple.</t>
        </is>
      </c>
    </row>
    <row r="11">
      <c r="A11" s="21" t="inlineStr">
        <is>
          <t>2</t>
        </is>
      </c>
      <c r="B11" s="30" t="inlineStr">
        <is>
          <t>Enter the corrected 12-piece price in column O. Delta and Multiple recalculate automatically.</t>
        </is>
      </c>
    </row>
    <row r="12">
      <c r="A12" s="21" t="inlineStr">
        <is>
          <t>3</t>
        </is>
      </c>
      <c r="B12" s="30" t="inlineStr">
        <is>
          <t>Record the reason in column P so the fix is auditable.</t>
        </is>
      </c>
    </row>
    <row r="13">
      <c r="A13" s="21" t="inlineStr">
        <is>
          <t>4</t>
        </is>
      </c>
      <c r="B13" s="30" t="inlineStr">
        <is>
          <t>The SUMMARY block on the first sheet tracks how many corrections remain.</t>
        </is>
      </c>
    </row>
    <row r="14">
      <c r="A14" s="18" t="inlineStr"/>
      <c r="B14" s="30" t="inlineStr"/>
    </row>
    <row r="15">
      <c r="A15" s="18" t="inlineStr">
        <is>
          <t>METHOD</t>
        </is>
      </c>
      <c r="B15" s="30" t="inlineStr"/>
    </row>
    <row r="16">
      <c r="A16" s="18" t="inlineStr">
        <is>
          <t>Source</t>
        </is>
      </c>
      <c r="B16" s="30" t="inlineStr">
        <is>
          <t>Live production Convex (precise-raccoon-123.convex.cloud). Every SKU read individually via products.lookupSku.</t>
        </is>
      </c>
    </row>
    <row r="17">
      <c r="A17" s="18" t="inlineStr">
        <is>
          <t>Scope</t>
        </is>
      </c>
      <c r="B17" s="30" t="inlineStr">
        <is>
          <t>All production products scanned; 45 had webPrice12pc greater than webPrice1pc.</t>
        </is>
      </c>
    </row>
    <row r="18">
      <c r="A18" s="18" t="inlineStr">
        <is>
          <t>Generated</t>
        </is>
      </c>
      <c r="B18" s="30" t="inlineStr">
        <is>
          <t>2026-08-06 (production snapshot)</t>
        </is>
      </c>
    </row>
    <row r="19">
      <c r="A19" s="18" t="inlineStr"/>
      <c r="B19" s="30" t="inlineStr"/>
    </row>
    <row r="20">
      <c r="A20" s="18" t="inlineStr">
        <is>
          <t>ASSUMPTIONS</t>
        </is>
      </c>
      <c r="B20" s="30" t="inlineStr"/>
    </row>
    <row r="21">
      <c r="A21" s="21" t="inlineStr">
        <is>
          <t>A1</t>
        </is>
      </c>
      <c r="B21" s="30" t="inlineStr">
        <is>
          <t>Only the 1-piece and 12-piece tiers are compared. The 10-piece tier is shown for context but is frequently empty in the catalog.</t>
        </is>
      </c>
    </row>
    <row r="22">
      <c r="A22" s="21" t="inlineStr">
        <is>
          <t>A2</t>
        </is>
      </c>
      <c r="B22" s="30" t="inlineStr">
        <is>
          <t>'Correct' pricing is assumed to be monotonically non-increasing as quantity rises. Any intentional exception should be recorded in column P rather than corrected.</t>
        </is>
      </c>
    </row>
    <row r="23">
      <c r="A23" s="21" t="inlineStr">
        <is>
          <t>A3</t>
        </is>
      </c>
      <c r="B23" s="30" t="inlineStr">
        <is>
          <t>Severity thresholds (2x critical, 1.2x high) were chosen for triage only and carry no commercial meaning.</t>
        </is>
      </c>
    </row>
    <row r="24">
      <c r="A24" s="21" t="inlineStr">
        <is>
          <t>A4</t>
        </is>
      </c>
      <c r="B24" s="30" t="inlineStr">
        <is>
          <t>This file is a snapshot. It does not write back to Convex — corrections must be applied to the catalog separately.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2026-08-06T19:05:14Z</dcterms:created>
  <dcterms:modified xsi:type="dcterms:W3CDTF">2026-08-06T19:05:14Z</dcterms:modified>
</cp:coreProperties>
</file>