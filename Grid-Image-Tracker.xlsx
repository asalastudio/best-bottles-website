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rid Image Tracker" sheetId="1" state="visible" r:id="rId1"/>
    <sheet xmlns:r="http://schemas.openxmlformats.org/officeDocument/2006/relationships" name="Dashboard" sheetId="2" state="visible" r:id="rId2"/>
    <sheet xmlns:r="http://schemas.openxmlformats.org/officeDocument/2006/relationships" name="Prompt Log" sheetId="3" state="visible" r:id="rId3"/>
    <sheet xmlns:r="http://schemas.openxmlformats.org/officeDocument/2006/relationships" name="Gaps &amp; Notes" sheetId="4" state="visible" r:id="rId4"/>
  </sheets>
  <definedNames>
    <definedName name="_xlnm._FilterDatabase" localSheetId="0" hidden="1">'Grid Image Tracker'!$A$1:$X$292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color rgb="FF0066CC"/>
      <sz val="10"/>
      <u val="single"/>
    </font>
    <font>
      <name val="Arial"/>
      <charset val="1"/>
      <family val="0"/>
      <b val="1"/>
      <color rgb="FF2D3748"/>
      <sz val="16"/>
    </font>
    <font>
      <name val="Arial"/>
      <charset val="1"/>
      <family val="0"/>
      <color rgb="FFA0AEC0"/>
      <sz val="9"/>
    </font>
    <font>
      <name val="Arial"/>
      <charset val="1"/>
      <family val="0"/>
      <b val="1"/>
      <color rgb="FF2D3748"/>
      <sz val="13"/>
    </font>
    <font>
      <name val="Arial"/>
      <charset val="1"/>
      <family val="0"/>
      <sz val="11"/>
    </font>
    <font>
      <name val="Arial"/>
      <charset val="1"/>
      <family val="0"/>
      <b val="1"/>
      <color rgb="FF2D3748"/>
      <sz val="14"/>
    </font>
    <font>
      <name val="Arial"/>
      <charset val="1"/>
      <family val="0"/>
      <b val="1"/>
      <color rgb="FF38A169"/>
      <sz val="14"/>
    </font>
    <font>
      <name val="Arial"/>
      <charset val="1"/>
      <family val="0"/>
      <b val="1"/>
      <sz val="10"/>
    </font>
    <font>
      <name val="Arial"/>
      <b val="1"/>
      <color rgb="00FFFFFF"/>
      <sz val="11"/>
    </font>
    <font>
      <name val="Arial"/>
      <sz val="10"/>
    </font>
    <font>
      <name val="Arial"/>
      <color rgb="000000FF"/>
      <sz val="10"/>
    </font>
  </fonts>
  <fills count="9">
    <fill>
      <patternFill/>
    </fill>
    <fill>
      <patternFill patternType="gray125"/>
    </fill>
    <fill>
      <patternFill patternType="solid">
        <fgColor rgb="FF2D3748"/>
        <bgColor rgb="FF333300"/>
      </patternFill>
    </fill>
    <fill>
      <patternFill patternType="solid">
        <fgColor rgb="FFFED7D7"/>
        <bgColor rgb="FFE2E8F0"/>
      </patternFill>
    </fill>
    <fill>
      <patternFill patternType="solid">
        <fgColor rgb="FFF7FAFC"/>
        <bgColor rgb="FFFFFFFF"/>
      </patternFill>
    </fill>
    <fill>
      <patternFill patternType="solid">
        <fgColor rgb="FFC6F6D5"/>
        <bgColor rgb="FFE2E8F0"/>
      </patternFill>
    </fill>
    <fill>
      <patternFill patternType="solid">
        <fgColor rgb="FFE2E8F0"/>
        <bgColor rgb="FFEDF2F7"/>
      </patternFill>
    </fill>
    <fill>
      <patternFill patternType="solid">
        <fgColor rgb="FFEDF2F7"/>
        <bgColor rgb="FFF7FAFC"/>
      </patternFill>
    </fill>
    <fill>
      <patternFill patternType="solid">
        <fgColor rgb="001A1A2E"/>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5" fillId="3" borderId="1" applyAlignment="1" pivotButton="0" quotePrefix="0" xfId="0">
      <alignment horizontal="center" vertical="center"/>
    </xf>
    <xf numFmtId="0" fontId="5" fillId="4" borderId="1" applyAlignment="1" pivotButton="0" quotePrefix="0" xfId="0">
      <alignment horizontal="general" vertical="bottom"/>
    </xf>
    <xf numFmtId="0" fontId="6" fillId="4" borderId="1" applyAlignment="1" pivotButton="0" quotePrefix="0" xfId="0">
      <alignment horizontal="general" vertical="bottom"/>
    </xf>
    <xf numFmtId="0" fontId="5" fillId="5" borderId="1" applyAlignment="1" pivotButton="0" quotePrefix="0" xfId="0">
      <alignment horizontal="center" vertical="center"/>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6"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center" vertical="center"/>
    </xf>
    <xf numFmtId="164" fontId="12" fillId="0" borderId="0" applyAlignment="1" pivotButton="0" quotePrefix="0" xfId="0">
      <alignment horizontal="center" vertical="center"/>
    </xf>
    <xf numFmtId="0" fontId="13" fillId="7" borderId="0" applyAlignment="1" pivotButton="0" quotePrefix="0" xfId="0">
      <alignment horizontal="center" vertical="center"/>
    </xf>
    <xf numFmtId="0" fontId="13" fillId="7"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5" fillId="3" borderId="1" applyAlignment="1" pivotButton="0" quotePrefix="0" xfId="0">
      <alignment horizontal="center" vertical="center"/>
    </xf>
    <xf numFmtId="0" fontId="5" fillId="4" borderId="1" applyAlignment="1" pivotButton="0" quotePrefix="0" xfId="0">
      <alignment horizontal="general" vertical="bottom"/>
    </xf>
    <xf numFmtId="0" fontId="6" fillId="4" borderId="1" applyAlignment="1" pivotButton="0" quotePrefix="0" xfId="0">
      <alignment horizontal="general" vertical="bottom"/>
    </xf>
    <xf numFmtId="0" fontId="5" fillId="5" borderId="1" applyAlignment="1" pivotButton="0" quotePrefix="0" xfId="0">
      <alignment horizontal="center" vertical="center"/>
    </xf>
    <xf numFmtId="0" fontId="16" fillId="0" borderId="1" applyAlignment="1" pivotButton="0" quotePrefix="0" xfId="0">
      <alignment horizontal="general" vertical="bottom"/>
    </xf>
    <xf numFmtId="0" fontId="15" fillId="0" borderId="1" applyAlignment="1" pivotButton="0" quotePrefix="0" xfId="0">
      <alignment horizontal="general" vertical="bottom"/>
    </xf>
    <xf numFmtId="0" fontId="16" fillId="4" borderId="1" applyAlignment="1" pivotButton="0" quotePrefix="0" xfId="0">
      <alignment horizontal="general" vertical="bottom"/>
    </xf>
    <xf numFmtId="0" fontId="15" fillId="4" borderId="1"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6"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center" vertical="center"/>
    </xf>
    <xf numFmtId="164" fontId="12" fillId="0" borderId="0" applyAlignment="1" pivotButton="0" quotePrefix="0" xfId="0">
      <alignment horizontal="center" vertical="center"/>
    </xf>
    <xf numFmtId="0" fontId="13" fillId="7" borderId="0" applyAlignment="1" pivotButton="0" quotePrefix="0" xfId="0">
      <alignment horizontal="center" vertical="center"/>
    </xf>
    <xf numFmtId="0" fontId="14" fillId="8" borderId="2" applyAlignment="1" pivotButton="0" quotePrefix="0" xfId="0">
      <alignment horizontal="center" vertical="center"/>
    </xf>
    <xf numFmtId="0" fontId="15" fillId="0" borderId="2" applyAlignment="1" pivotButton="0" quotePrefix="0" xfId="0">
      <alignment vertical="top" wrapText="1"/>
    </xf>
    <xf numFmtId="0" fontId="13" fillId="7"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2D3748"/>
          <bgColor rgb="FF000000"/>
        </patternFill>
      </fill>
    </dxf>
    <dxf>
      <fill>
        <patternFill patternType="solid">
          <fgColor rgb="FFF7FAFC"/>
          <bgColor rgb="FF000000"/>
        </patternFill>
      </fill>
    </dxf>
    <dxf>
      <fill>
        <patternFill patternType="solid">
          <bgColor rgb="FF000000"/>
        </patternFill>
      </fill>
    </dxf>
    <dxf>
      <fill>
        <patternFill patternType="solid">
          <fgColor rgb="FFFFFFFF"/>
          <bgColor rgb="FF000000"/>
        </patternFill>
      </fill>
    </dxf>
    <dxf>
      <fill>
        <patternFill patternType="solid">
          <fgColor rgb="FF0066CC"/>
          <bgColor rgb="FF000000"/>
        </patternFill>
      </fill>
    </dxf>
    <dxf>
      <fill>
        <patternFill patternType="solid">
          <fgColor rgb="FFC6F6D5"/>
          <bgColor rgb="FF000000"/>
        </patternFill>
      </fill>
    </dxf>
    <dxf>
      <fill>
        <patternFill patternType="solid">
          <fgColor rgb="FFFED7D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0AEC0"/>
      <rgbColor rgb="FF808080"/>
      <rgbColor rgb="FF9999FF"/>
      <rgbColor rgb="FF993366"/>
      <rgbColor rgb="FFF7FAFC"/>
      <rgbColor rgb="FFED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8F0"/>
      <rgbColor rgb="FFC6F6D5"/>
      <rgbColor rgb="FFFFFF99"/>
      <rgbColor rgb="FF99CCFF"/>
      <rgbColor rgb="FFFF99CC"/>
      <rgbColor rgb="FFCC99FF"/>
      <rgbColor rgb="FFFED7D7"/>
      <rgbColor rgb="FF3366FF"/>
      <rgbColor rgb="FF33CCCC"/>
      <rgbColor rgb="FF99CC00"/>
      <rgbColor rgb="FFFFCC00"/>
      <rgbColor rgb="FFFF9900"/>
      <rgbColor rgb="FFFF6600"/>
      <rgbColor rgb="FF666699"/>
      <rgbColor rgb="FF969696"/>
      <rgbColor rgb="FF003366"/>
      <rgbColor rgb="FF38A169"/>
      <rgbColor rgb="FF003300"/>
      <rgbColor rgb="FF333300"/>
      <rgbColor rgb="FF993300"/>
      <rgbColor rgb="FF993366"/>
      <rgbColor rgb="FF333399"/>
      <rgbColor rgb="FF2D374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29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8" min="1" max="1"/>
    <col width="16" customWidth="1" style="18" min="2" max="2"/>
    <col width="12" customWidth="1" style="18" min="3" max="3"/>
    <col width="14" customWidth="1" style="18" min="4" max="4"/>
    <col width="30" customWidth="1" style="18" min="5" max="5"/>
    <col width="10" customWidth="1" style="18" min="6" max="6"/>
    <col width="36" customWidth="1" style="18" min="7" max="7"/>
    <col width="14" customWidth="1" style="18" min="8" max="8"/>
    <col width="16" customWidth="1" style="18" min="9" max="9"/>
    <col width="42" customWidth="1" style="18" min="10" max="10"/>
    <col width="28" customWidth="1" style="18" min="11" max="11"/>
    <col width="26" customWidth="1" style="18" min="12" max="12"/>
    <col width="28" customWidth="1" style="18" min="13" max="13"/>
    <col width="40" customWidth="1" style="18" min="14" max="14"/>
    <col width="50" customWidth="1" style="18" min="15" max="15"/>
    <col width="14" customWidth="1" style="18" min="16" max="16"/>
    <col width="60" customWidth="1" style="18" min="17" max="17"/>
    <col width="12" customWidth="1" style="18" min="18" max="18"/>
    <col width="10" customWidth="1" style="18" min="19" max="20"/>
    <col width="14" customWidth="1" style="18" min="21" max="21"/>
    <col width="16" customWidth="1" style="18" min="22" max="22"/>
    <col width="10" customWidth="1" style="18" min="23" max="23"/>
    <col width="30" customWidth="1" style="18" min="24" max="24"/>
  </cols>
  <sheetData>
    <row r="1" ht="15" customHeight="1" s="19">
      <c r="A1" s="20" t="inlineStr">
        <is>
          <t>Row #</t>
        </is>
      </c>
      <c r="B1" s="20" t="inlineStr">
        <is>
          <t>Family</t>
        </is>
      </c>
      <c r="C1" s="20" t="inlineStr">
        <is>
          <t>Capacity (ml)</t>
        </is>
      </c>
      <c r="D1" s="20" t="inlineStr">
        <is>
          <t>Glass Color</t>
        </is>
      </c>
      <c r="E1" s="20" t="inlineStr">
        <is>
          <t>Applicator Types</t>
        </is>
      </c>
      <c r="F1" s="20" t="inlineStr">
        <is>
          <t>Thread Size</t>
        </is>
      </c>
      <c r="G1" s="20" t="inlineStr">
        <is>
          <t>Display Name</t>
        </is>
      </c>
      <c r="H1" s="20" t="inlineStr">
        <is>
          <t>Category</t>
        </is>
      </c>
      <c r="I1" s="20" t="inlineStr">
        <is>
          <t>Collection</t>
        </is>
      </c>
      <c r="J1" s="20" t="inlineStr">
        <is>
          <t>Convex Slug</t>
        </is>
      </c>
      <c r="K1" s="20" t="inlineStr">
        <is>
          <t>Convex ID</t>
        </is>
      </c>
      <c r="L1" s="20" t="inlineStr">
        <is>
          <t>Primary Grace SKU</t>
        </is>
      </c>
      <c r="M1" s="20" t="inlineStr">
        <is>
          <t>Primary Website SKU</t>
        </is>
      </c>
      <c r="N1" s="20" t="inlineStr">
        <is>
          <t>All Legacy SKUs</t>
        </is>
      </c>
      <c r="O1" s="20" t="inlineStr">
        <is>
          <t>Product URL</t>
        </is>
      </c>
      <c r="P1" s="20" t="inlineStr">
        <is>
          <t>Has Hero Image?</t>
        </is>
      </c>
      <c r="Q1" s="20" t="inlineStr">
        <is>
          <t>Hero Image URL</t>
        </is>
      </c>
      <c r="R1" s="20" t="inlineStr">
        <is>
          <t>Variant Count</t>
        </is>
      </c>
      <c r="S1" s="20" t="inlineStr">
        <is>
          <t>Price Min ($)</t>
        </is>
      </c>
      <c r="T1" s="20" t="inlineStr">
        <is>
          <t>Price Max ($)</t>
        </is>
      </c>
      <c r="U1" s="20" t="inlineStr">
        <is>
          <t>Prompt Status</t>
        </is>
      </c>
      <c r="V1" s="20" t="inlineStr">
        <is>
          <t>Generation Status</t>
        </is>
      </c>
      <c r="W1" s="20" t="inlineStr">
        <is>
          <t>QA Status</t>
        </is>
      </c>
      <c r="X1" s="20" t="inlineStr">
        <is>
          <t>Notes</t>
        </is>
      </c>
    </row>
    <row r="2" ht="15" customHeight="1" s="19">
      <c r="A2" s="21" t="n">
        <v>1</v>
      </c>
      <c r="B2" s="21" t="inlineStr">
        <is>
          <t>Apothecary</t>
        </is>
      </c>
      <c r="C2" s="21" t="n">
        <v>15</v>
      </c>
      <c r="D2" s="21" t="inlineStr">
        <is>
          <t>Cobalt Blue</t>
        </is>
      </c>
      <c r="E2" s="21" t="inlineStr">
        <is>
          <t>Glass Stopper</t>
        </is>
      </c>
      <c r="F2" s="21" t="inlineStr">
        <is>
          <t>Ground</t>
        </is>
      </c>
      <c r="G2" s="21" t="inlineStr">
        <is>
          <t>15 ml Cobalt Blue Apothecary Applicator Bottle</t>
        </is>
      </c>
      <c r="H2" s="21" t="inlineStr">
        <is>
          <t>Glass Bottle</t>
        </is>
      </c>
      <c r="I2" s="21" t="inlineStr">
        <is>
          <t>Apothecary</t>
        </is>
      </c>
      <c r="J2" s="21" t="inlineStr">
        <is>
          <t>apothecary-15ml-cobalt-blue-Ground-glassapplicator</t>
        </is>
      </c>
      <c r="K2" s="21" t="inlineStr">
        <is>
          <t>kh75zzjck76jpqraxft0vhs4pd83k811</t>
        </is>
      </c>
      <c r="L2" s="21" t="inlineStr">
        <is>
          <t>GB-APT-BLU-15ML-BLU-T</t>
        </is>
      </c>
      <c r="M2" s="21" t="inlineStr">
        <is>
          <t>GB15ApthBlue</t>
        </is>
      </c>
      <c r="N2" s="21" t="inlineStr">
        <is>
          <t>GB15ApthBlue</t>
        </is>
      </c>
      <c r="O2" s="22" t="inlineStr">
        <is>
          <t>https://www.bestbottles.com/product/Apothecary-style-15-ml-blue-glass-bottle-blue-glass-stopper</t>
        </is>
      </c>
      <c r="P2" s="23" t="inlineStr">
        <is>
          <t>No</t>
        </is>
      </c>
      <c r="Q2" s="21" t="n"/>
      <c r="R2" s="21" t="n">
        <v>1</v>
      </c>
      <c r="S2" s="21" t="n">
        <v>2.9</v>
      </c>
      <c r="T2" s="21" t="n">
        <v>2.9</v>
      </c>
      <c r="U2" s="21" t="n"/>
      <c r="V2" s="21" t="n"/>
      <c r="W2" s="21" t="n"/>
      <c r="X2" s="21" t="n"/>
    </row>
    <row r="3" ht="15" customHeight="1" s="19">
      <c r="A3" s="24" t="n">
        <v>2</v>
      </c>
      <c r="B3" s="24" t="inlineStr">
        <is>
          <t>Apothecary</t>
        </is>
      </c>
      <c r="C3" s="24" t="n">
        <v>30</v>
      </c>
      <c r="D3" s="24" t="inlineStr">
        <is>
          <t>Clear</t>
        </is>
      </c>
      <c r="E3" s="24" t="inlineStr">
        <is>
          <t>Glass Stopper</t>
        </is>
      </c>
      <c r="F3" s="24" t="inlineStr">
        <is>
          <t>Ground</t>
        </is>
      </c>
      <c r="G3" s="24" t="inlineStr">
        <is>
          <t>30 ml Clear Apothecary Applicator Bottle</t>
        </is>
      </c>
      <c r="H3" s="24" t="inlineStr">
        <is>
          <t>Glass Bottle</t>
        </is>
      </c>
      <c r="I3" s="24" t="inlineStr">
        <is>
          <t>Apothecary</t>
        </is>
      </c>
      <c r="J3" s="24" t="inlineStr">
        <is>
          <t>apothecary-30ml-clear-Ground-glassapplicator</t>
        </is>
      </c>
      <c r="K3" s="24" t="inlineStr">
        <is>
          <t>kh74mjg1k626msbrwhjcj1jxvd83kev5</t>
        </is>
      </c>
      <c r="L3" s="24" t="inlineStr">
        <is>
          <t>GB-APT-CLR-30ML-T</t>
        </is>
      </c>
      <c r="M3" s="24" t="inlineStr">
        <is>
          <t>GB1ozApth</t>
        </is>
      </c>
      <c r="N3" s="24" t="inlineStr">
        <is>
          <t>GB1ozApth</t>
        </is>
      </c>
      <c r="O3" s="25" t="inlineStr">
        <is>
          <t>https://www.bestbottles.com/product/Apothecary-style-1-ounce-clear-glass-bottle-clear-glass-stopper</t>
        </is>
      </c>
      <c r="P3" s="23" t="inlineStr">
        <is>
          <t>No</t>
        </is>
      </c>
      <c r="Q3" s="24" t="n"/>
      <c r="R3" s="24" t="n">
        <v>1</v>
      </c>
      <c r="S3" s="24" t="n">
        <v>2.9</v>
      </c>
      <c r="T3" s="24" t="n">
        <v>2.9</v>
      </c>
      <c r="U3" s="24" t="n"/>
      <c r="V3" s="24" t="n"/>
      <c r="W3" s="24" t="n"/>
      <c r="X3" s="24" t="n"/>
    </row>
    <row r="4" ht="15" customHeight="1" s="19">
      <c r="A4" s="21" t="n">
        <v>3</v>
      </c>
      <c r="B4" s="21" t="inlineStr">
        <is>
          <t>Apothecary</t>
        </is>
      </c>
      <c r="C4" s="21" t="n">
        <v>30</v>
      </c>
      <c r="D4" s="21" t="inlineStr">
        <is>
          <t>Cobalt Blue</t>
        </is>
      </c>
      <c r="E4" s="21" t="inlineStr">
        <is>
          <t>Glass Stopper</t>
        </is>
      </c>
      <c r="F4" s="21" t="inlineStr">
        <is>
          <t>Ground</t>
        </is>
      </c>
      <c r="G4" s="21" t="inlineStr">
        <is>
          <t>30 ml Cobalt Blue Apothecary Applicator Bottle</t>
        </is>
      </c>
      <c r="H4" s="21" t="inlineStr">
        <is>
          <t>Glass Bottle</t>
        </is>
      </c>
      <c r="I4" s="21" t="inlineStr">
        <is>
          <t>Apothecary</t>
        </is>
      </c>
      <c r="J4" s="21" t="inlineStr">
        <is>
          <t>apothecary-30ml-cobalt-blue-Ground-glassapplicator</t>
        </is>
      </c>
      <c r="K4" s="21" t="inlineStr">
        <is>
          <t>kh758q30dj5dbqa4cqsyhkhaz983k8ex</t>
        </is>
      </c>
      <c r="L4" s="21" t="inlineStr">
        <is>
          <t>GB-APT-BLU-30ML-BLU-T</t>
        </is>
      </c>
      <c r="M4" s="21" t="inlineStr">
        <is>
          <t>GB1ozApthBlue</t>
        </is>
      </c>
      <c r="N4" s="21" t="inlineStr">
        <is>
          <t>GB1ozApthBlue</t>
        </is>
      </c>
      <c r="O4" s="22" t="inlineStr">
        <is>
          <t>https://www.bestbottles.com/product/Apothecary-style-1-ounce-blue-glass-bottle-blue-glass-stopper</t>
        </is>
      </c>
      <c r="P4" s="23" t="inlineStr">
        <is>
          <t>No</t>
        </is>
      </c>
      <c r="Q4" s="21" t="n"/>
      <c r="R4" s="21" t="n">
        <v>1</v>
      </c>
      <c r="S4" s="21" t="n">
        <v>2.9</v>
      </c>
      <c r="T4" s="21" t="n">
        <v>2.9</v>
      </c>
      <c r="U4" s="21" t="n"/>
      <c r="V4" s="21" t="n"/>
      <c r="W4" s="21" t="n"/>
      <c r="X4" s="21" t="n"/>
    </row>
    <row r="5" ht="15" customHeight="1" s="19">
      <c r="A5" s="24" t="n">
        <v>4</v>
      </c>
      <c r="B5" s="24" t="inlineStr">
        <is>
          <t>Apothecary</t>
        </is>
      </c>
      <c r="C5" s="24" t="n">
        <v>30</v>
      </c>
      <c r="D5" s="24" t="inlineStr">
        <is>
          <t>Green</t>
        </is>
      </c>
      <c r="E5" s="24" t="inlineStr">
        <is>
          <t>Glass Stopper</t>
        </is>
      </c>
      <c r="F5" s="24" t="inlineStr">
        <is>
          <t>Ground</t>
        </is>
      </c>
      <c r="G5" s="24" t="inlineStr">
        <is>
          <t>30 ml Green Apothecary Applicator Bottle</t>
        </is>
      </c>
      <c r="H5" s="24" t="inlineStr">
        <is>
          <t>Glass Bottle</t>
        </is>
      </c>
      <c r="I5" s="24" t="inlineStr">
        <is>
          <t>Apothecary</t>
        </is>
      </c>
      <c r="J5" s="24" t="inlineStr">
        <is>
          <t>apothecary-30ml-green-Ground-glassapplicator</t>
        </is>
      </c>
      <c r="K5" s="24" t="inlineStr">
        <is>
          <t>kh7eay6sf6g6vkbxkc032vgntd83k6z1</t>
        </is>
      </c>
      <c r="L5" s="24" t="inlineStr">
        <is>
          <t>GB-APT-GRN-30ML-GRN-T</t>
        </is>
      </c>
      <c r="M5" s="24" t="inlineStr">
        <is>
          <t>GB1ozApthGreen</t>
        </is>
      </c>
      <c r="N5" s="24" t="inlineStr">
        <is>
          <t>GB1ozApthGreen</t>
        </is>
      </c>
      <c r="O5" s="25" t="inlineStr">
        <is>
          <t>https://www.bestbottles.com/product/Apothecary-style-1-ounce-green-glass-bottle-green-glass-stopper</t>
        </is>
      </c>
      <c r="P5" s="23" t="inlineStr">
        <is>
          <t>No</t>
        </is>
      </c>
      <c r="Q5" s="24" t="n"/>
      <c r="R5" s="24" t="n">
        <v>1</v>
      </c>
      <c r="S5" s="24" t="n">
        <v>2.9</v>
      </c>
      <c r="T5" s="24" t="n">
        <v>2.9</v>
      </c>
      <c r="U5" s="24" t="n"/>
      <c r="V5" s="24" t="n"/>
      <c r="W5" s="24" t="n"/>
      <c r="X5" s="24" t="n"/>
    </row>
    <row r="6" ht="15" customHeight="1" s="19">
      <c r="A6" s="21" t="n">
        <v>5</v>
      </c>
      <c r="B6" s="21" t="inlineStr">
        <is>
          <t>Apothecary</t>
        </is>
      </c>
      <c r="C6" s="21" t="n">
        <v>118</v>
      </c>
      <c r="D6" s="21" t="inlineStr">
        <is>
          <t>Clear</t>
        </is>
      </c>
      <c r="E6" s="21" t="inlineStr">
        <is>
          <t>Cap/Closure</t>
        </is>
      </c>
      <c r="F6" s="21" t="inlineStr">
        <is>
          <t>Ground</t>
        </is>
      </c>
      <c r="G6" s="21" t="inlineStr">
        <is>
          <t>118 ml Clear Pear Bottle with Stopper</t>
        </is>
      </c>
      <c r="H6" s="21" t="inlineStr">
        <is>
          <t>Glass Bottle</t>
        </is>
      </c>
      <c r="I6" s="21" t="inlineStr">
        <is>
          <t>Apothecary</t>
        </is>
      </c>
      <c r="J6" s="21" t="inlineStr">
        <is>
          <t>pear-118ml-clear-Ground-stopper</t>
        </is>
      </c>
      <c r="K6" s="21" t="inlineStr">
        <is>
          <t>kh7884mkyxnwzvk52rf1nptq5583kjf0</t>
        </is>
      </c>
      <c r="L6" s="21" t="inlineStr">
        <is>
          <t>GB-DEC-CLR-118ML</t>
        </is>
      </c>
      <c r="M6" s="21" t="inlineStr">
        <is>
          <t>GBPearClear4ozStpr</t>
        </is>
      </c>
      <c r="N6" s="21" t="inlineStr">
        <is>
          <t>GBPearClear4ozStpr</t>
        </is>
      </c>
      <c r="O6" s="22" t="inlineStr">
        <is>
          <t>https://www.bestbottles.com/product/Apothecary-style-Clear-glass-cylindrical-4oz-glass-stopper</t>
        </is>
      </c>
      <c r="P6" s="23" t="inlineStr">
        <is>
          <t>No</t>
        </is>
      </c>
      <c r="Q6" s="21" t="n"/>
      <c r="R6" s="21" t="n">
        <v>1</v>
      </c>
      <c r="S6" s="21" t="n">
        <v>4.5</v>
      </c>
      <c r="T6" s="21" t="n">
        <v>4.5</v>
      </c>
      <c r="U6" s="21" t="n"/>
      <c r="V6" s="21" t="n"/>
      <c r="W6" s="21" t="n"/>
      <c r="X6" s="21" t="n"/>
    </row>
    <row r="7" ht="15" customHeight="1" s="19">
      <c r="A7" s="24" t="n">
        <v>6</v>
      </c>
      <c r="B7" s="24" t="inlineStr">
        <is>
          <t>Bell</t>
        </is>
      </c>
      <c r="C7" s="24" t="n">
        <v>10</v>
      </c>
      <c r="D7" s="24" t="inlineStr">
        <is>
          <t>Clear</t>
        </is>
      </c>
      <c r="E7" s="24" t="inlineStr">
        <is>
          <t>Cap/Closure</t>
        </is>
      </c>
      <c r="F7" s="24" t="inlineStr">
        <is>
          <t>13-415</t>
        </is>
      </c>
      <c r="G7" s="24" t="inlineStr">
        <is>
          <t>10 ml Clear Bell Bottle</t>
        </is>
      </c>
      <c r="H7" s="24" t="inlineStr">
        <is>
          <t>Glass Bottle</t>
        </is>
      </c>
      <c r="I7" s="24" t="inlineStr">
        <is>
          <t>Bell Collection</t>
        </is>
      </c>
      <c r="J7" s="24" t="inlineStr">
        <is>
          <t>bell-10ml-clear-13-415-capclosure</t>
        </is>
      </c>
      <c r="K7" s="24" t="inlineStr">
        <is>
          <t>kh74qjssw50h0jgjprr0f2zrwd83k8yb</t>
        </is>
      </c>
      <c r="L7" s="24" t="inlineStr">
        <is>
          <t>GB-BEL-CLR-10ML-SHT-SBLK</t>
        </is>
      </c>
      <c r="M7" s="24" t="inlineStr">
        <is>
          <t>GBBell10BlkShSht</t>
        </is>
      </c>
      <c r="N7" s="24" t="inlineStr">
        <is>
          <t>GBBell10BlkShSht</t>
        </is>
      </c>
      <c r="O7" s="25" t="inlineStr">
        <is>
          <t>https://www.bestbottles.com/product/bell-design-10-ml-glass-bottle-short-shiny-black-cap</t>
        </is>
      </c>
      <c r="P7" s="23" t="inlineStr">
        <is>
          <t>No</t>
        </is>
      </c>
      <c r="Q7" s="24" t="n"/>
      <c r="R7" s="24" t="n">
        <v>1</v>
      </c>
      <c r="S7" s="24" t="n">
        <v>0.6</v>
      </c>
      <c r="T7" s="24" t="n">
        <v>0.6</v>
      </c>
      <c r="U7" s="24" t="n"/>
      <c r="V7" s="24" t="n"/>
      <c r="W7" s="24" t="n"/>
      <c r="X7" s="24" t="n"/>
    </row>
    <row r="8" ht="15" customHeight="1" s="19">
      <c r="A8" s="21" t="n">
        <v>7</v>
      </c>
      <c r="B8" s="21" t="inlineStr">
        <is>
          <t>Bell</t>
        </is>
      </c>
      <c r="C8" s="21" t="n">
        <v>10</v>
      </c>
      <c r="D8" s="21" t="inlineStr">
        <is>
          <t>Clear</t>
        </is>
      </c>
      <c r="E8" s="21" t="inlineStr">
        <is>
          <t>Cap/Closure</t>
        </is>
      </c>
      <c r="F8" s="21" t="inlineStr">
        <is>
          <t>13-415</t>
        </is>
      </c>
      <c r="G8" s="21" t="inlineStr">
        <is>
          <t>10.0 ml Clear Bell Bottle with Cap</t>
        </is>
      </c>
      <c r="H8" s="21" t="inlineStr">
        <is>
          <t>Glass Bottle</t>
        </is>
      </c>
      <c r="I8" s="21" t="n"/>
      <c r="J8" s="21" t="inlineStr">
        <is>
          <t>bell-10ml-clear-13-415</t>
        </is>
      </c>
      <c r="K8" s="21" t="inlineStr">
        <is>
          <t>kh74vwsapbjsyxwyywndpdssn983jfgw</t>
        </is>
      </c>
      <c r="L8" s="21" t="inlineStr">
        <is>
          <t>GB-BLL-CLR-10ML-MRL-BDOT</t>
        </is>
      </c>
      <c r="M8" s="21" t="inlineStr">
        <is>
          <t>GBBell10MtlRollBlkDot</t>
        </is>
      </c>
      <c r="N8" s="21" t="inlineStr">
        <is>
          <t>GBBell10MtlRollBlkDot, GBBell10RollBlkDot</t>
        </is>
      </c>
      <c r="O8" s="22" t="inlineStr">
        <is>
          <t>https://www.bestbottles.com/product/bell-design-10-ml-glass-bottle-metal-roller-ball-plug-black-shiny-cap-with-dots</t>
        </is>
      </c>
      <c r="P8" s="23" t="inlineStr">
        <is>
          <t>No</t>
        </is>
      </c>
      <c r="Q8" s="21" t="n"/>
      <c r="R8" s="21" t="n">
        <v>2</v>
      </c>
      <c r="S8" s="21" t="n">
        <v>0.74</v>
      </c>
      <c r="T8" s="21" t="n">
        <v>0.82</v>
      </c>
      <c r="U8" s="21" t="n"/>
      <c r="V8" s="21" t="n"/>
      <c r="W8" s="21" t="n"/>
      <c r="X8" s="21" t="n"/>
    </row>
    <row r="9" ht="15" customHeight="1" s="19">
      <c r="A9" s="24" t="n">
        <v>8</v>
      </c>
      <c r="B9" s="24" t="inlineStr">
        <is>
          <t>Bell</t>
        </is>
      </c>
      <c r="C9" s="24" t="n">
        <v>10</v>
      </c>
      <c r="D9" s="24" t="inlineStr">
        <is>
          <t>Clear</t>
        </is>
      </c>
      <c r="E9" s="24" t="inlineStr">
        <is>
          <t>Fine Mist Sprayer</t>
        </is>
      </c>
      <c r="F9" s="24" t="inlineStr">
        <is>
          <t>13-415</t>
        </is>
      </c>
      <c r="G9" s="24" t="inlineStr">
        <is>
          <t>10 ml Clear Bell Fine Mist Spray Bottle</t>
        </is>
      </c>
      <c r="H9" s="24" t="inlineStr">
        <is>
          <t>Glass Bottle</t>
        </is>
      </c>
      <c r="I9" s="24" t="inlineStr">
        <is>
          <t>Bell</t>
        </is>
      </c>
      <c r="J9" s="24" t="inlineStr">
        <is>
          <t>bell-10ml-clear-13-415-finemist</t>
        </is>
      </c>
      <c r="K9" s="24" t="inlineStr">
        <is>
          <t>kh72622695yfgrq69fp0xx5rbs83je3g</t>
        </is>
      </c>
      <c r="L9" s="24" t="inlineStr">
        <is>
          <t>GB-BEL-CLR-10ML-SPR-SBLK</t>
        </is>
      </c>
      <c r="M9" s="24" t="inlineStr">
        <is>
          <t>GBBell10SpryBlkSh</t>
        </is>
      </c>
      <c r="N9" s="24" t="inlineStr">
        <is>
          <t>GBBell10SpryBlkSh</t>
        </is>
      </c>
      <c r="O9" s="25" t="inlineStr">
        <is>
          <t>https://www.bestbottles.com/product/bell-design-10-ml-clear-glass-bottle-shiny-black-spray</t>
        </is>
      </c>
      <c r="P9" s="23" t="inlineStr">
        <is>
          <t>No</t>
        </is>
      </c>
      <c r="Q9" s="24" t="n"/>
      <c r="R9" s="24" t="n">
        <v>1</v>
      </c>
      <c r="S9" s="24" t="n">
        <v>0.9</v>
      </c>
      <c r="T9" s="24" t="n">
        <v>0.9</v>
      </c>
      <c r="U9" s="24" t="n"/>
      <c r="V9" s="24" t="n"/>
      <c r="W9" s="24" t="n"/>
      <c r="X9" s="24" t="n"/>
    </row>
    <row r="10" ht="15" customHeight="1" s="19">
      <c r="A10" s="21" t="n">
        <v>9</v>
      </c>
      <c r="B10" s="21" t="inlineStr">
        <is>
          <t>Bell</t>
        </is>
      </c>
      <c r="C10" s="21" t="n">
        <v>10</v>
      </c>
      <c r="D10" s="21" t="inlineStr">
        <is>
          <t>Clear</t>
        </is>
      </c>
      <c r="E10" s="21" t="inlineStr">
        <is>
          <t>Metal Roller Ball, Plastic Roller Ball</t>
        </is>
      </c>
      <c r="F10" s="21" t="inlineStr">
        <is>
          <t>13-415</t>
        </is>
      </c>
      <c r="G10" s="21" t="inlineStr">
        <is>
          <t>10 ml Clear Bell Roll-On Bottle</t>
        </is>
      </c>
      <c r="H10" s="21" t="inlineStr">
        <is>
          <t>Glass Bottle</t>
        </is>
      </c>
      <c r="I10" s="21" t="inlineStr">
        <is>
          <t>Bell Collection</t>
        </is>
      </c>
      <c r="J10" s="21" t="inlineStr">
        <is>
          <t>bell-10ml-clear-13-415-rollon</t>
        </is>
      </c>
      <c r="K10" s="21" t="inlineStr">
        <is>
          <t>kh7a5c349tvj8n8sa46w9de8jx83kxgs</t>
        </is>
      </c>
      <c r="L10" s="21" t="inlineStr">
        <is>
          <t>GB-BEL-CLR-10ML-ROL-BLDOT</t>
        </is>
      </c>
      <c r="M10" s="21" t="inlineStr">
        <is>
          <t>GBBell10RollBlkDot</t>
        </is>
      </c>
      <c r="N10" s="21" t="inlineStr">
        <is>
          <t>GBBell10RollBlkDot, GBBell10MtlRollBlkDot</t>
        </is>
      </c>
      <c r="O10" s="22" t="inlineStr">
        <is>
          <t>https://www.bestbottles.com/product/bell-design-10-ml-glass-bottle-plastic-roller-ball-plug-black-shiny-cap-with-dots</t>
        </is>
      </c>
      <c r="P10" s="23" t="inlineStr">
        <is>
          <t>No</t>
        </is>
      </c>
      <c r="Q10" s="21" t="n"/>
      <c r="R10" s="21" t="n">
        <v>2</v>
      </c>
      <c r="S10" s="21" t="n">
        <v>0.74</v>
      </c>
      <c r="T10" s="21" t="n">
        <v>0.82</v>
      </c>
      <c r="U10" s="21" t="n"/>
      <c r="V10" s="21" t="n"/>
      <c r="W10" s="21" t="n"/>
      <c r="X10" s="21" t="n"/>
    </row>
    <row r="11" ht="15" customHeight="1" s="19">
      <c r="A11" s="24" t="n">
        <v>10</v>
      </c>
      <c r="B11" s="24" t="inlineStr">
        <is>
          <t>Boston Round</t>
        </is>
      </c>
      <c r="C11" s="24" t="n">
        <v>15</v>
      </c>
      <c r="D11" s="24" t="inlineStr">
        <is>
          <t>Amber</t>
        </is>
      </c>
      <c r="E11" s="24" t="inlineStr">
        <is>
          <t>Cap/Closure</t>
        </is>
      </c>
      <c r="F11" s="24" t="inlineStr">
        <is>
          <t>18-400</t>
        </is>
      </c>
      <c r="G11" s="24" t="inlineStr">
        <is>
          <t>15 ml Amber Boston Round Bottle with Cap</t>
        </is>
      </c>
      <c r="H11" s="24" t="inlineStr">
        <is>
          <t>Glass Bottle</t>
        </is>
      </c>
      <c r="I11" s="24" t="inlineStr">
        <is>
          <t>Boston Round</t>
        </is>
      </c>
      <c r="J11" s="24" t="inlineStr">
        <is>
          <t>boston-round-15ml-amber-18-400</t>
        </is>
      </c>
      <c r="K11" s="24" t="inlineStr">
        <is>
          <t>kh7dyyag722vnby7v0vtk86y9183k1qm</t>
        </is>
      </c>
      <c r="L11" s="24" t="inlineStr">
        <is>
          <t>GB-BSR-AMB-15ML-BLK-S</t>
        </is>
      </c>
      <c r="M11" s="24" t="inlineStr">
        <is>
          <t>GBBstnAmb15mlBlkCapSht</t>
        </is>
      </c>
      <c r="N11" s="24" t="inlineStr">
        <is>
          <t>GBBstnAmb15mlBlkCapSht</t>
        </is>
      </c>
      <c r="O11" s="25" t="inlineStr">
        <is>
          <t>https://www.bestbottles.com/product/boston-round-design-15-ml-amber-glass-bottle-black-short-cap</t>
        </is>
      </c>
      <c r="P11" s="23" t="inlineStr">
        <is>
          <t>No</t>
        </is>
      </c>
      <c r="Q11" s="24" t="n"/>
      <c r="R11" s="24" t="n">
        <v>1</v>
      </c>
      <c r="S11" s="24" t="n">
        <v>0.42</v>
      </c>
      <c r="T11" s="24" t="n">
        <v>0.42</v>
      </c>
      <c r="U11" s="24" t="n"/>
      <c r="V11" s="24" t="n"/>
      <c r="W11" s="24" t="n"/>
      <c r="X11" s="24" t="n"/>
    </row>
    <row r="12" ht="15" customHeight="1" s="19">
      <c r="A12" s="21" t="n">
        <v>11</v>
      </c>
      <c r="B12" s="21" t="inlineStr">
        <is>
          <t>Boston Round</t>
        </is>
      </c>
      <c r="C12" s="21" t="n">
        <v>15</v>
      </c>
      <c r="D12" s="21" t="inlineStr">
        <is>
          <t>Amber</t>
        </is>
      </c>
      <c r="E12" s="21" t="inlineStr">
        <is>
          <t>Dropper</t>
        </is>
      </c>
      <c r="F12" s="21" t="inlineStr">
        <is>
          <t>18-400</t>
        </is>
      </c>
      <c r="G12" s="21" t="inlineStr">
        <is>
          <t>15 ml Amber Boston Round Dropper Bottle</t>
        </is>
      </c>
      <c r="H12" s="21" t="inlineStr">
        <is>
          <t>Glass Bottle</t>
        </is>
      </c>
      <c r="I12" s="21" t="inlineStr">
        <is>
          <t>Boston Round</t>
        </is>
      </c>
      <c r="J12" s="21" t="inlineStr">
        <is>
          <t>boston-round-15ml-amber-18-400-dropper</t>
        </is>
      </c>
      <c r="K12" s="21" t="inlineStr">
        <is>
          <t>kh70zt06mq8ebwfe1rbrjzsban83jng8</t>
        </is>
      </c>
      <c r="L12" s="21" t="inlineStr">
        <is>
          <t>GB-BSR-AMB-15ML-BLK-T-03</t>
        </is>
      </c>
      <c r="M12" s="21" t="inlineStr">
        <is>
          <t>GBBstnAmb15mlBlkDropperSlTrim</t>
        </is>
      </c>
      <c r="N12" s="21" t="inlineStr">
        <is>
          <t>GBBstnAmb15mlBlkDropperSlTrim, GBBstnAmb15mlWhtDropper, GBBstnAmb15mlWhtDropperGlTrim, GBBstnAmb15mlWhtDropperSlTrim, GBBstnAmb15mlBlkDropperGlTrim</t>
        </is>
      </c>
      <c r="O12" s="22" t="inlineStr">
        <is>
          <t>https://www.bestbottles.com/product/boston-round-design-15-ml-amber-glass-bottle-black-dropper-shiny-silver-trim-cap</t>
        </is>
      </c>
      <c r="P12" s="23" t="inlineStr">
        <is>
          <t>No</t>
        </is>
      </c>
      <c r="Q12" s="21" t="n"/>
      <c r="R12" s="21" t="n">
        <v>6</v>
      </c>
      <c r="S12" s="21" t="n">
        <v>0.67</v>
      </c>
      <c r="T12" s="21" t="n">
        <v>0.82</v>
      </c>
      <c r="U12" s="21" t="n"/>
      <c r="V12" s="21" t="n"/>
      <c r="W12" s="21" t="n"/>
      <c r="X12" s="21" t="n"/>
    </row>
    <row r="13" ht="15" customHeight="1" s="19">
      <c r="A13" s="24" t="n">
        <v>12</v>
      </c>
      <c r="B13" s="24" t="inlineStr">
        <is>
          <t>Boston Round</t>
        </is>
      </c>
      <c r="C13" s="24" t="n">
        <v>15</v>
      </c>
      <c r="D13" s="24" t="inlineStr">
        <is>
          <t>Clear</t>
        </is>
      </c>
      <c r="E13" s="24" t="inlineStr">
        <is>
          <t>Cap/Closure</t>
        </is>
      </c>
      <c r="F13" s="24" t="inlineStr">
        <is>
          <t>18-400</t>
        </is>
      </c>
      <c r="G13" s="24" t="inlineStr">
        <is>
          <t>15 ml Clear Boston Round Bottle with Cap</t>
        </is>
      </c>
      <c r="H13" s="24" t="inlineStr">
        <is>
          <t>Glass Bottle</t>
        </is>
      </c>
      <c r="I13" s="24" t="inlineStr">
        <is>
          <t>Boston Round</t>
        </is>
      </c>
      <c r="J13" s="24" t="inlineStr">
        <is>
          <t>boston-round-15ml-clear-18-400</t>
        </is>
      </c>
      <c r="K13" s="24" t="inlineStr">
        <is>
          <t>kh782gspzag63xwn768bt9j98x83jc0d</t>
        </is>
      </c>
      <c r="L13" s="24" t="inlineStr">
        <is>
          <t>GB-BSR-CLR-15ML-BLK-S</t>
        </is>
      </c>
      <c r="M13" s="24" t="inlineStr">
        <is>
          <t>GBBstn15BlkCapSht</t>
        </is>
      </c>
      <c r="N13" s="24" t="inlineStr">
        <is>
          <t>GBBstn15BlkCapSht</t>
        </is>
      </c>
      <c r="O13" s="25" t="inlineStr">
        <is>
          <t>https://www.bestbottles.com/product/boston-round-design-15-ml-clear-glass-bottle-black-short-cap</t>
        </is>
      </c>
      <c r="P13" s="23" t="inlineStr">
        <is>
          <t>No</t>
        </is>
      </c>
      <c r="Q13" s="24" t="n"/>
      <c r="R13" s="24" t="n">
        <v>2</v>
      </c>
      <c r="S13" s="24" t="n">
        <v>0.42</v>
      </c>
      <c r="T13" s="24" t="n">
        <v>0.67</v>
      </c>
      <c r="U13" s="24" t="n"/>
      <c r="V13" s="24" t="n"/>
      <c r="W13" s="24" t="n"/>
      <c r="X13" s="24" t="n"/>
    </row>
    <row r="14" ht="15" customHeight="1" s="19">
      <c r="A14" s="21" t="n">
        <v>13</v>
      </c>
      <c r="B14" s="21" t="inlineStr">
        <is>
          <t>Boston Round</t>
        </is>
      </c>
      <c r="C14" s="21" t="n">
        <v>15</v>
      </c>
      <c r="D14" s="21" t="inlineStr">
        <is>
          <t>Cobalt Blue</t>
        </is>
      </c>
      <c r="E14" s="21" t="inlineStr">
        <is>
          <t>Cap/Closure</t>
        </is>
      </c>
      <c r="F14" s="21" t="inlineStr">
        <is>
          <t>18-400</t>
        </is>
      </c>
      <c r="G14" s="21" t="inlineStr">
        <is>
          <t>15 ml Cobalt Blue Boston Round Bottle with Cap</t>
        </is>
      </c>
      <c r="H14" s="21" t="inlineStr">
        <is>
          <t>Glass Bottle</t>
        </is>
      </c>
      <c r="I14" s="21" t="inlineStr">
        <is>
          <t>Boston Round</t>
        </is>
      </c>
      <c r="J14" s="21" t="inlineStr">
        <is>
          <t>boston-round-15ml-cobalt-blue-18-400</t>
        </is>
      </c>
      <c r="K14" s="21" t="inlineStr">
        <is>
          <t>kh765ptesrzsaz6s354zagtxxh83kp4e</t>
        </is>
      </c>
      <c r="L14" s="21" t="inlineStr">
        <is>
          <t>GB-BSR-CBL-15ML-BLK-S</t>
        </is>
      </c>
      <c r="M14" s="21" t="inlineStr">
        <is>
          <t>GBBstnBlu15BlkCapSht</t>
        </is>
      </c>
      <c r="N14" s="21" t="inlineStr">
        <is>
          <t>GBBstnBlu15BlkCapSht</t>
        </is>
      </c>
      <c r="O14" s="22" t="inlineStr">
        <is>
          <t>https://www.bestbottles.com/product/boston-round-design-15-ml-cobalt-blue-glass-bottle-black-short-cap</t>
        </is>
      </c>
      <c r="P14" s="23" t="inlineStr">
        <is>
          <t>No</t>
        </is>
      </c>
      <c r="Q14" s="21" t="n"/>
      <c r="R14" s="21" t="n">
        <v>1</v>
      </c>
      <c r="S14" s="21" t="n">
        <v>0.42</v>
      </c>
      <c r="T14" s="21" t="n">
        <v>0.42</v>
      </c>
      <c r="U14" s="21" t="n"/>
      <c r="V14" s="21" t="n"/>
      <c r="W14" s="21" t="n"/>
      <c r="X14" s="21" t="n"/>
    </row>
    <row r="15" ht="15" customHeight="1" s="19">
      <c r="A15" s="24" t="n">
        <v>14</v>
      </c>
      <c r="B15" s="24" t="inlineStr">
        <is>
          <t>Boston Round</t>
        </is>
      </c>
      <c r="C15" s="24" t="n">
        <v>15</v>
      </c>
      <c r="D15" s="24" t="inlineStr">
        <is>
          <t>Cobalt Blue</t>
        </is>
      </c>
      <c r="E15" s="24" t="inlineStr">
        <is>
          <t>Dropper</t>
        </is>
      </c>
      <c r="F15" s="24" t="inlineStr">
        <is>
          <t>18-400</t>
        </is>
      </c>
      <c r="G15" s="24" t="inlineStr">
        <is>
          <t>15 ml Cobalt Blue Boston Round Dropper Bottle</t>
        </is>
      </c>
      <c r="H15" s="24" t="inlineStr">
        <is>
          <t>Glass Bottle</t>
        </is>
      </c>
      <c r="I15" s="24" t="inlineStr">
        <is>
          <t>Boston Round</t>
        </is>
      </c>
      <c r="J15" s="24" t="inlineStr">
        <is>
          <t>boston-round-15ml-cobalt-blue-18-400-dropper</t>
        </is>
      </c>
      <c r="K15" s="24" t="inlineStr">
        <is>
          <t>kh79y1hddtdfwsmy4afhvs5n7h83j0gm</t>
        </is>
      </c>
      <c r="L15" s="24" t="inlineStr">
        <is>
          <t>GB-BSR-CBL-15ML-WHT-T-01</t>
        </is>
      </c>
      <c r="M15" s="24" t="inlineStr">
        <is>
          <t>GBBstnBlu15WhtDrpr</t>
        </is>
      </c>
      <c r="N15" s="24" t="inlineStr">
        <is>
          <t>GBBstnBlu15WhtDrpr, GBBstnBlu15WhtDrprSlTrim, GBBstnBlu15WhtDrprGlTrim, GBBstnBlu15mlBlkDropperSlTrim, GBBstnBlu15BlkDrprGlTrim</t>
        </is>
      </c>
      <c r="O15" s="25" t="inlineStr">
        <is>
          <t>https://www.bestbottles.com/product/boston-round-design-15-ml-cobalt-blue-glass-bottle-white-dropper</t>
        </is>
      </c>
      <c r="P15" s="23" t="inlineStr">
        <is>
          <t>No</t>
        </is>
      </c>
      <c r="Q15" s="24" t="n"/>
      <c r="R15" s="24" t="n">
        <v>6</v>
      </c>
      <c r="S15" s="24" t="n">
        <v>0.67</v>
      </c>
      <c r="T15" s="24" t="n">
        <v>0.82</v>
      </c>
      <c r="U15" s="24" t="n"/>
      <c r="V15" s="24" t="n"/>
      <c r="W15" s="24" t="n"/>
      <c r="X15" s="24" t="n"/>
    </row>
    <row r="16" ht="15" customHeight="1" s="19">
      <c r="A16" s="21" t="n">
        <v>15</v>
      </c>
      <c r="B16" s="21" t="inlineStr">
        <is>
          <t>Boston Round</t>
        </is>
      </c>
      <c r="C16" s="21" t="n">
        <v>30</v>
      </c>
      <c r="D16" s="21" t="inlineStr">
        <is>
          <t>Amber</t>
        </is>
      </c>
      <c r="E16" s="21" t="inlineStr">
        <is>
          <t>Cap/Closure</t>
        </is>
      </c>
      <c r="F16" s="21" t="inlineStr">
        <is>
          <t>20-400</t>
        </is>
      </c>
      <c r="G16" s="21" t="inlineStr">
        <is>
          <t>30 ml Amber Boston Round Bottle with Cap</t>
        </is>
      </c>
      <c r="H16" s="21" t="inlineStr">
        <is>
          <t>Glass Bottle</t>
        </is>
      </c>
      <c r="I16" s="21" t="inlineStr">
        <is>
          <t>Boston Round</t>
        </is>
      </c>
      <c r="J16" s="21" t="inlineStr">
        <is>
          <t>boston-round-30ml-amber-20-400</t>
        </is>
      </c>
      <c r="K16" s="21" t="inlineStr">
        <is>
          <t>kh7170jj2eaz3s2g6qa5t17y2d83k8hp</t>
        </is>
      </c>
      <c r="L16" s="21" t="inlineStr">
        <is>
          <t>GB-BSR-AMB-30ML-BLK-S</t>
        </is>
      </c>
      <c r="M16" s="21" t="inlineStr">
        <is>
          <t>GBBstnAmb1ozBlkCapSht</t>
        </is>
      </c>
      <c r="N16" s="21" t="inlineStr">
        <is>
          <t>GBBstnAmb1ozBlkCapSht</t>
        </is>
      </c>
      <c r="O16" s="22" t="inlineStr">
        <is>
          <t>https://www.bestbottles.com/product/boston-round-design-1-oz-amber-glass-bottle-short-black-cap</t>
        </is>
      </c>
      <c r="P16" s="23" t="inlineStr">
        <is>
          <t>No</t>
        </is>
      </c>
      <c r="Q16" s="21" t="n"/>
      <c r="R16" s="21" t="n">
        <v>1</v>
      </c>
      <c r="S16" s="21" t="n">
        <v>0.47</v>
      </c>
      <c r="T16" s="21" t="n">
        <v>0.47</v>
      </c>
      <c r="U16" s="21" t="n"/>
      <c r="V16" s="21" t="n"/>
      <c r="W16" s="21" t="n"/>
      <c r="X16" s="21" t="n"/>
    </row>
    <row r="17" ht="15" customHeight="1" s="19">
      <c r="A17" s="24" t="n">
        <v>16</v>
      </c>
      <c r="B17" s="24" t="inlineStr">
        <is>
          <t>Boston Round</t>
        </is>
      </c>
      <c r="C17" s="24" t="n">
        <v>30</v>
      </c>
      <c r="D17" s="24" t="inlineStr">
        <is>
          <t>Amber</t>
        </is>
      </c>
      <c r="E17" s="24" t="inlineStr">
        <is>
          <t>Dropper</t>
        </is>
      </c>
      <c r="F17" s="24" t="inlineStr">
        <is>
          <t>20-400</t>
        </is>
      </c>
      <c r="G17" s="24" t="inlineStr">
        <is>
          <t>30 ml Amber Boston Round Dropper Bottle</t>
        </is>
      </c>
      <c r="H17" s="24" t="inlineStr">
        <is>
          <t>Glass Bottle</t>
        </is>
      </c>
      <c r="I17" s="24" t="inlineStr">
        <is>
          <t>Boston Round</t>
        </is>
      </c>
      <c r="J17" s="24" t="inlineStr">
        <is>
          <t>boston-round-30ml-amber-20-400-dropper</t>
        </is>
      </c>
      <c r="K17" s="24" t="inlineStr">
        <is>
          <t>kh78qzqrp4sa5z7gtavefg985183ksc5</t>
        </is>
      </c>
      <c r="L17" s="24" t="inlineStr">
        <is>
          <t>GB-BSR-AMB-30ML-BLK-T-02</t>
        </is>
      </c>
      <c r="M17" s="24" t="inlineStr">
        <is>
          <t>GBBstnAmb1ozBlkDrpShnGl</t>
        </is>
      </c>
      <c r="N17" s="24" t="inlineStr">
        <is>
          <t>GBBstnAmb1ozBlkDrpShnGl, GBBstnAmb1ozWhtDropper, GBBstnAmb1ozWhtDropperShnGlTrim, GBBstnAmb1ozWhtDrprShnSlTrim</t>
        </is>
      </c>
      <c r="O17" s="25" t="inlineStr">
        <is>
          <t>https://www.bestbottles.com/product/boston-round-design-1-oz-amber-glass-bottle-black-dropper-shiny-silver-trim-cap</t>
        </is>
      </c>
      <c r="P17" s="23" t="inlineStr">
        <is>
          <t>No</t>
        </is>
      </c>
      <c r="Q17" s="24" t="n"/>
      <c r="R17" s="24" t="n">
        <v>5</v>
      </c>
      <c r="S17" s="24" t="n">
        <v>0.72</v>
      </c>
      <c r="T17" s="24" t="n">
        <v>0.87</v>
      </c>
      <c r="U17" s="24" t="n"/>
      <c r="V17" s="24" t="n"/>
      <c r="W17" s="24" t="n"/>
      <c r="X17" s="24" t="n"/>
    </row>
    <row r="18" ht="15" customHeight="1" s="19">
      <c r="A18" s="21" t="n">
        <v>17</v>
      </c>
      <c r="B18" s="21" t="inlineStr">
        <is>
          <t>Boston Round</t>
        </is>
      </c>
      <c r="C18" s="21" t="n">
        <v>30</v>
      </c>
      <c r="D18" s="21" t="inlineStr">
        <is>
          <t>Amber</t>
        </is>
      </c>
      <c r="E18" s="21" t="inlineStr">
        <is>
          <t>Metal Roller Ball, Plastic Roller Ball</t>
        </is>
      </c>
      <c r="F18" s="21" t="inlineStr">
        <is>
          <t>20-400</t>
        </is>
      </c>
      <c r="G18" s="21" t="inlineStr">
        <is>
          <t>30 ml Amber Boston Round Roll-On Bottle</t>
        </is>
      </c>
      <c r="H18" s="21" t="inlineStr">
        <is>
          <t>Glass Bottle</t>
        </is>
      </c>
      <c r="I18" s="21" t="inlineStr">
        <is>
          <t>Boston Round</t>
        </is>
      </c>
      <c r="J18" s="21" t="inlineStr">
        <is>
          <t>boston-round-30ml-amber-20-400-rollon</t>
        </is>
      </c>
      <c r="K18" s="21" t="inlineStr">
        <is>
          <t>kh7czj3k0nw98n0ecvtz7pa07h83k4vt</t>
        </is>
      </c>
      <c r="L18" s="21" t="inlineStr">
        <is>
          <t>GB-BSR-AMB-30ML-MRL-MBLK</t>
        </is>
      </c>
      <c r="M18" s="21" t="inlineStr">
        <is>
          <t>GBBstnAmb1ozMtlRollonMattBlk</t>
        </is>
      </c>
      <c r="N18" s="21" t="inlineStr">
        <is>
          <t>GBBstnAmb1ozMtlRollonMattBlk, GBBstnAmb1ozMtlRollonMattGl, GBBstnAmb1ozMtlRollonMattSl, GBBstnAmb1ozMtlRollonShnSl, GBBstnAmb1ozMtlRollonShnBlk, GBBstnAmb1ozRollonMattGl, GBBstnAmb1ozRollonMattBlk, GBBstnAmb1ozRollonMattSl, GBBstnAmb1ozRollonShnSl, GBBstnAmb1ozRollonShnBlk</t>
        </is>
      </c>
      <c r="O18" s="22" t="inlineStr">
        <is>
          <t>https://www.bestbottles.com/product/boston-round-design-1-oz-amber-glass-bottle-metal-roller-ball-matte-black-cap</t>
        </is>
      </c>
      <c r="P18" s="23" t="inlineStr">
        <is>
          <t>No</t>
        </is>
      </c>
      <c r="Q18" s="21" t="n"/>
      <c r="R18" s="21" t="n">
        <v>12</v>
      </c>
      <c r="S18" s="21" t="n">
        <v>0.92</v>
      </c>
      <c r="T18" s="21" t="n">
        <v>1.07</v>
      </c>
      <c r="U18" s="21" t="n"/>
      <c r="V18" s="21" t="n"/>
      <c r="W18" s="21" t="n"/>
      <c r="X18" s="21" t="n"/>
    </row>
    <row r="19" ht="15" customHeight="1" s="19">
      <c r="A19" s="24" t="n">
        <v>18</v>
      </c>
      <c r="B19" s="24" t="inlineStr">
        <is>
          <t>Boston Round</t>
        </is>
      </c>
      <c r="C19" s="24" t="n">
        <v>30</v>
      </c>
      <c r="D19" s="24" t="inlineStr">
        <is>
          <t>Clear</t>
        </is>
      </c>
      <c r="E19" s="24" t="inlineStr">
        <is>
          <t>Cap/Closure</t>
        </is>
      </c>
      <c r="F19" s="24" t="inlineStr">
        <is>
          <t>20-400</t>
        </is>
      </c>
      <c r="G19" s="24" t="inlineStr">
        <is>
          <t>30 ml Clear Boston Round Bottle with Cap</t>
        </is>
      </c>
      <c r="H19" s="24" t="inlineStr">
        <is>
          <t>Glass Bottle</t>
        </is>
      </c>
      <c r="I19" s="24" t="inlineStr">
        <is>
          <t>Boston Round</t>
        </is>
      </c>
      <c r="J19" s="24" t="inlineStr">
        <is>
          <t>boston-round-30ml-clear-20-400</t>
        </is>
      </c>
      <c r="K19" s="24" t="inlineStr">
        <is>
          <t>kh7cq9kpdyrwqw8cnevh33743h83jgdt</t>
        </is>
      </c>
      <c r="L19" s="24" t="inlineStr">
        <is>
          <t>GB-BSR-CLR-30ML-BLK-S</t>
        </is>
      </c>
      <c r="M19" s="24" t="inlineStr">
        <is>
          <t>GBBstn1ozBlkCapSht</t>
        </is>
      </c>
      <c r="N19" s="24" t="inlineStr">
        <is>
          <t>GBBstn1ozBlkCapSht</t>
        </is>
      </c>
      <c r="O19" s="25" t="inlineStr">
        <is>
          <t>https://www.bestbottles.com/product/boston-round-design-1-oz-clear-glass-bottle-short-black-cap</t>
        </is>
      </c>
      <c r="P19" s="23" t="inlineStr">
        <is>
          <t>No</t>
        </is>
      </c>
      <c r="Q19" s="24" t="n"/>
      <c r="R19" s="24" t="n">
        <v>1</v>
      </c>
      <c r="S19" s="24" t="n">
        <v>0.47</v>
      </c>
      <c r="T19" s="24" t="n">
        <v>0.47</v>
      </c>
      <c r="U19" s="24" t="n"/>
      <c r="V19" s="24" t="n"/>
      <c r="W19" s="24" t="n"/>
      <c r="X19" s="24" t="n"/>
    </row>
    <row r="20" ht="15" customHeight="1" s="19">
      <c r="A20" s="21" t="n">
        <v>19</v>
      </c>
      <c r="B20" s="21" t="inlineStr">
        <is>
          <t>Boston Round</t>
        </is>
      </c>
      <c r="C20" s="21" t="n">
        <v>30</v>
      </c>
      <c r="D20" s="21" t="inlineStr">
        <is>
          <t>Clear</t>
        </is>
      </c>
      <c r="E20" s="21" t="inlineStr">
        <is>
          <t>Dropper</t>
        </is>
      </c>
      <c r="F20" s="21" t="inlineStr">
        <is>
          <t>20-400</t>
        </is>
      </c>
      <c r="G20" s="21" t="inlineStr">
        <is>
          <t>30 ml Clear Boston Round Dropper Bottle</t>
        </is>
      </c>
      <c r="H20" s="21" t="inlineStr">
        <is>
          <t>Glass Bottle</t>
        </is>
      </c>
      <c r="I20" s="21" t="inlineStr">
        <is>
          <t>Boston Round</t>
        </is>
      </c>
      <c r="J20" s="21" t="inlineStr">
        <is>
          <t>boston-round-30ml-clear-20-400-dropper</t>
        </is>
      </c>
      <c r="K20" s="21" t="inlineStr">
        <is>
          <t>kh7c6gancdwmyvdh02zzgnqmgh83k6ja</t>
        </is>
      </c>
      <c r="L20" s="21" t="inlineStr">
        <is>
          <t>GB-BSR-CLR-30ML-DRP-WHT-T</t>
        </is>
      </c>
      <c r="M20" s="21" t="inlineStr">
        <is>
          <t>GBBstn1ozWhtDrp</t>
        </is>
      </c>
      <c r="N20" s="21" t="inlineStr">
        <is>
          <t>GBBstn1ozWhtDrp, GBBstn1ozBlkDrpShnGlTrim, GBBstn1ozWhtDrpShnGlTrim, GBBstn1ozWhtDrpShnSlTrim</t>
        </is>
      </c>
      <c r="O20" s="22" t="inlineStr">
        <is>
          <t>https://www.bestbottles.com/product/boston-round-design-1-oz-clear-glass-bottle-white-dropper</t>
        </is>
      </c>
      <c r="P20" s="23" t="inlineStr">
        <is>
          <t>No</t>
        </is>
      </c>
      <c r="Q20" s="21" t="n"/>
      <c r="R20" s="21" t="n">
        <v>5</v>
      </c>
      <c r="S20" s="21" t="n">
        <v>0.72</v>
      </c>
      <c r="T20" s="21" t="n">
        <v>0.87</v>
      </c>
      <c r="U20" s="21" t="n"/>
      <c r="V20" s="21" t="n"/>
      <c r="W20" s="21" t="n"/>
      <c r="X20" s="21" t="n"/>
    </row>
    <row r="21" ht="15" customHeight="1" s="19">
      <c r="A21" s="24" t="n">
        <v>20</v>
      </c>
      <c r="B21" s="24" t="inlineStr">
        <is>
          <t>Boston Round</t>
        </is>
      </c>
      <c r="C21" s="24" t="n">
        <v>30</v>
      </c>
      <c r="D21" s="24" t="inlineStr">
        <is>
          <t>Clear</t>
        </is>
      </c>
      <c r="E21" s="24" t="inlineStr">
        <is>
          <t>Metal Roller Ball, Plastic Roller Ball</t>
        </is>
      </c>
      <c r="F21" s="24" t="inlineStr">
        <is>
          <t>20-400</t>
        </is>
      </c>
      <c r="G21" s="24" t="inlineStr">
        <is>
          <t>30 ml Clear Boston Round Roll-On Bottle</t>
        </is>
      </c>
      <c r="H21" s="24" t="inlineStr">
        <is>
          <t>Glass Bottle</t>
        </is>
      </c>
      <c r="I21" s="24" t="inlineStr">
        <is>
          <t>Boston Round</t>
        </is>
      </c>
      <c r="J21" s="24" t="inlineStr">
        <is>
          <t>boston-round-30ml-clear-20-400-rollon</t>
        </is>
      </c>
      <c r="K21" s="24" t="inlineStr">
        <is>
          <t>kh74yejxppvrrgtd4m9wpe43bs83kz9m</t>
        </is>
      </c>
      <c r="L21" s="24" t="inlineStr">
        <is>
          <t>GB-BSR-CLR-30ML-MRO-MSLV</t>
        </is>
      </c>
      <c r="M21" s="24" t="inlineStr">
        <is>
          <t>GBBstn1ozMtlRollonMattSl</t>
        </is>
      </c>
      <c r="N21" s="24" t="inlineStr">
        <is>
          <t>GBBstn1ozMtlRollonMattSl, GBBstn1ozMtlRollonShnSl, GBBstn1ozMtlRollonMattBlk, GBBstn1ozMtlRollonGl, GBBstn1ozMtlRollonMattGl, GBBstn1ozRollonShBlk, GBBstn1ozRollonShGl, GBBstn1ozRollonMattSl, GBBstn1ozRollonShnSl, GBBstn1ozRollonMattGl</t>
        </is>
      </c>
      <c r="O21" s="25" t="inlineStr">
        <is>
          <t>https://www.bestbottles.com/product/boston-round-design-1-oz-clear-glass-bottle-metal-roller-ball-matte-silver-cap</t>
        </is>
      </c>
      <c r="P21" s="23" t="inlineStr">
        <is>
          <t>No</t>
        </is>
      </c>
      <c r="Q21" s="24" t="n"/>
      <c r="R21" s="24" t="n">
        <v>12</v>
      </c>
      <c r="S21" s="24" t="n">
        <v>0.92</v>
      </c>
      <c r="T21" s="24" t="n">
        <v>1.07</v>
      </c>
      <c r="U21" s="24" t="n"/>
      <c r="V21" s="24" t="n"/>
      <c r="W21" s="24" t="n"/>
      <c r="X21" s="24" t="n"/>
    </row>
    <row r="22" ht="15" customHeight="1" s="19">
      <c r="A22" s="21" t="n">
        <v>21</v>
      </c>
      <c r="B22" s="21" t="inlineStr">
        <is>
          <t>Boston Round</t>
        </is>
      </c>
      <c r="C22" s="21" t="n">
        <v>30</v>
      </c>
      <c r="D22" s="21" t="inlineStr">
        <is>
          <t>Cobalt Blue</t>
        </is>
      </c>
      <c r="E22" s="21" t="inlineStr">
        <is>
          <t>Cap/Closure</t>
        </is>
      </c>
      <c r="F22" s="21" t="inlineStr">
        <is>
          <t>20-400</t>
        </is>
      </c>
      <c r="G22" s="21" t="inlineStr">
        <is>
          <t>30 ml Cobalt Blue Boston Round Bottle with Cap</t>
        </is>
      </c>
      <c r="H22" s="21" t="inlineStr">
        <is>
          <t>Glass Bottle</t>
        </is>
      </c>
      <c r="I22" s="21" t="inlineStr">
        <is>
          <t>Boston Round</t>
        </is>
      </c>
      <c r="J22" s="21" t="inlineStr">
        <is>
          <t>boston-round-30ml-cobalt-blue-20-400</t>
        </is>
      </c>
      <c r="K22" s="21" t="inlineStr">
        <is>
          <t>kh77f5emefh5p86dv0g7nkhhnx83j472</t>
        </is>
      </c>
      <c r="L22" s="21" t="inlineStr">
        <is>
          <t>GB-BSR-CBL-30ML-BLK-S</t>
        </is>
      </c>
      <c r="M22" s="21" t="inlineStr">
        <is>
          <t>GBBstnBlu1ozBlkCapSht</t>
        </is>
      </c>
      <c r="N22" s="21" t="inlineStr">
        <is>
          <t>GBBstnBlu1ozBlkCapSht</t>
        </is>
      </c>
      <c r="O22" s="22" t="inlineStr">
        <is>
          <t>https://www.bestbottles.com/product/boston-round-design-1-oz-cobalt-blue-glass-bottle-short-black-cap</t>
        </is>
      </c>
      <c r="P22" s="23" t="inlineStr">
        <is>
          <t>No</t>
        </is>
      </c>
      <c r="Q22" s="21" t="n"/>
      <c r="R22" s="21" t="n">
        <v>1</v>
      </c>
      <c r="S22" s="21" t="n">
        <v>0.47</v>
      </c>
      <c r="T22" s="21" t="n">
        <v>0.47</v>
      </c>
      <c r="U22" s="21" t="n"/>
      <c r="V22" s="21" t="n"/>
      <c r="W22" s="21" t="n"/>
      <c r="X22" s="21" t="n"/>
    </row>
    <row r="23" ht="15" customHeight="1" s="19">
      <c r="A23" s="24" t="n">
        <v>22</v>
      </c>
      <c r="B23" s="24" t="inlineStr">
        <is>
          <t>Boston Round</t>
        </is>
      </c>
      <c r="C23" s="24" t="n">
        <v>30</v>
      </c>
      <c r="D23" s="24" t="inlineStr">
        <is>
          <t>Cobalt Blue</t>
        </is>
      </c>
      <c r="E23" s="24" t="inlineStr">
        <is>
          <t>Dropper</t>
        </is>
      </c>
      <c r="F23" s="24" t="inlineStr">
        <is>
          <t>20-400</t>
        </is>
      </c>
      <c r="G23" s="24" t="inlineStr">
        <is>
          <t>30 ml Cobalt Blue Boston Round Dropper Bottle</t>
        </is>
      </c>
      <c r="H23" s="24" t="inlineStr">
        <is>
          <t>Glass Bottle</t>
        </is>
      </c>
      <c r="I23" s="24" t="inlineStr">
        <is>
          <t>Boston Round</t>
        </is>
      </c>
      <c r="J23" s="24" t="inlineStr">
        <is>
          <t>boston-round-30ml-cobalt-blue-20-400-dropper</t>
        </is>
      </c>
      <c r="K23" s="24" t="inlineStr">
        <is>
          <t>kh704gz2ecn6197qmfj8pknqm983kttc</t>
        </is>
      </c>
      <c r="L23" s="24" t="inlineStr">
        <is>
          <t>GB-BSR-CBL-30ML-BLK-T-02</t>
        </is>
      </c>
      <c r="M23" s="24" t="inlineStr">
        <is>
          <t>GBBstnBlu1ozBlkDropperShnGlTrim</t>
        </is>
      </c>
      <c r="N23" s="24" t="inlineStr">
        <is>
          <t>GBBstnBlu1ozBlkDropperShnGlTrim, GBBstnBlu1ozWhtDropper, GBBstnBlu1ozWhtDropperShnGlTrim, GBBstnBlu1ozWhtDropperShnSlTrim</t>
        </is>
      </c>
      <c r="O23" s="25" t="inlineStr">
        <is>
          <t>https://www.bestbottles.com/product/boston-round-design-1-oz-cobalt-blue-glass-bottle-black-dropper-shiny-silver-trim-cap</t>
        </is>
      </c>
      <c r="P23" s="23" t="inlineStr">
        <is>
          <t>No</t>
        </is>
      </c>
      <c r="Q23" s="24" t="n"/>
      <c r="R23" s="24" t="n">
        <v>5</v>
      </c>
      <c r="S23" s="24" t="n">
        <v>0.72</v>
      </c>
      <c r="T23" s="24" t="n">
        <v>0.87</v>
      </c>
      <c r="U23" s="24" t="n"/>
      <c r="V23" s="24" t="n"/>
      <c r="W23" s="24" t="n"/>
      <c r="X23" s="24" t="n"/>
    </row>
    <row r="24" ht="15" customHeight="1" s="19">
      <c r="A24" s="21" t="n">
        <v>23</v>
      </c>
      <c r="B24" s="21" t="inlineStr">
        <is>
          <t>Boston Round</t>
        </is>
      </c>
      <c r="C24" s="21" t="n">
        <v>30</v>
      </c>
      <c r="D24" s="21" t="inlineStr">
        <is>
          <t>Cobalt Blue</t>
        </is>
      </c>
      <c r="E24" s="21" t="inlineStr">
        <is>
          <t>Metal Roller Ball, Plastic Roller Ball</t>
        </is>
      </c>
      <c r="F24" s="21" t="inlineStr">
        <is>
          <t>20-400</t>
        </is>
      </c>
      <c r="G24" s="21" t="inlineStr">
        <is>
          <t>30 ml Cobalt Blue Boston Round Roll-On Bottle</t>
        </is>
      </c>
      <c r="H24" s="21" t="inlineStr">
        <is>
          <t>Glass Bottle</t>
        </is>
      </c>
      <c r="I24" s="21" t="inlineStr">
        <is>
          <t>Boston Round</t>
        </is>
      </c>
      <c r="J24" s="21" t="inlineStr">
        <is>
          <t>boston-round-30ml-cobalt-blue-20-400-rollon</t>
        </is>
      </c>
      <c r="K24" s="21" t="inlineStr">
        <is>
          <t>kh7bah1myb7ep7p6a3waj8vxyx83kdrp</t>
        </is>
      </c>
      <c r="L24" s="21" t="inlineStr">
        <is>
          <t>GB-BSR-BLU-30ML-MRO-MSLV</t>
        </is>
      </c>
      <c r="M24" s="21" t="inlineStr">
        <is>
          <t>GBBstnBlu1ozMtlRollonMattSl</t>
        </is>
      </c>
      <c r="N24" s="21" t="inlineStr">
        <is>
          <t>GBBstnBlu1ozMtlRollonMattSl, GBBstnBlu1ozMtlRollonShnSl, GBBstnBlu1ozMtlRollonMattBlk, GBBstnBlu1ozMtlRollonMattGl, GBBstnBlu1ozRollonMattBlk, GBBstnBlu1ozRollonMattSl, GBBstnBlu1ozRollonShnSl, GBBstnBlu1ozRollonMattGl, GBBstnBlu1ozRollonShnBlk</t>
        </is>
      </c>
      <c r="O24" s="22" t="inlineStr">
        <is>
          <t>https://www.bestbottles.com/product/boston-round-design-1-oz-cobalt-blue-glass-bottle-metal-roller-ball-matte-silver-cap</t>
        </is>
      </c>
      <c r="P24" s="23" t="inlineStr">
        <is>
          <t>No</t>
        </is>
      </c>
      <c r="Q24" s="21" t="n"/>
      <c r="R24" s="21" t="n">
        <v>11</v>
      </c>
      <c r="S24" s="21" t="n">
        <v>0.92</v>
      </c>
      <c r="T24" s="21" t="n">
        <v>1.07</v>
      </c>
      <c r="U24" s="21" t="n"/>
      <c r="V24" s="21" t="n"/>
      <c r="W24" s="21" t="n"/>
      <c r="X24" s="21" t="n"/>
    </row>
    <row r="25" ht="15" customHeight="1" s="19">
      <c r="A25" s="24" t="n">
        <v>24</v>
      </c>
      <c r="B25" s="24" t="inlineStr">
        <is>
          <t>Boston Round</t>
        </is>
      </c>
      <c r="C25" s="24" t="n">
        <v>60</v>
      </c>
      <c r="D25" s="24" t="inlineStr">
        <is>
          <t>Amber</t>
        </is>
      </c>
      <c r="E25" s="24" t="inlineStr">
        <is>
          <t>Cap/Closure</t>
        </is>
      </c>
      <c r="F25" s="24" t="inlineStr">
        <is>
          <t>20-400</t>
        </is>
      </c>
      <c r="G25" s="24" t="inlineStr">
        <is>
          <t>60 ml Amber Boston Round Bottle with Cap</t>
        </is>
      </c>
      <c r="H25" s="24" t="inlineStr">
        <is>
          <t>Glass Bottle</t>
        </is>
      </c>
      <c r="I25" s="24" t="inlineStr">
        <is>
          <t>Boston Round</t>
        </is>
      </c>
      <c r="J25" s="24" t="inlineStr">
        <is>
          <t>boston-round-60ml-amber-20-400</t>
        </is>
      </c>
      <c r="K25" s="24" t="inlineStr">
        <is>
          <t>kh73nbkb4nqvvd7ffmffqq75pd83kh73</t>
        </is>
      </c>
      <c r="L25" s="24" t="n"/>
      <c r="M25" s="24" t="n"/>
      <c r="N25" s="24" t="n"/>
      <c r="O25" s="24" t="n"/>
      <c r="P25" s="23" t="inlineStr">
        <is>
          <t>No</t>
        </is>
      </c>
      <c r="Q25" s="24" t="n"/>
      <c r="R25" s="24" t="n">
        <v>1</v>
      </c>
      <c r="S25" s="24" t="n">
        <v>0.5</v>
      </c>
      <c r="T25" s="24" t="n">
        <v>0.5</v>
      </c>
      <c r="U25" s="24" t="n"/>
      <c r="V25" s="24" t="n"/>
      <c r="W25" s="24" t="n"/>
      <c r="X25" s="24" t="n"/>
    </row>
    <row r="26" ht="15" customHeight="1" s="19">
      <c r="A26" s="21" t="n">
        <v>25</v>
      </c>
      <c r="B26" s="21" t="inlineStr">
        <is>
          <t>Boston Round</t>
        </is>
      </c>
      <c r="C26" s="21" t="n">
        <v>60</v>
      </c>
      <c r="D26" s="21" t="inlineStr">
        <is>
          <t>Amber</t>
        </is>
      </c>
      <c r="E26" s="21" t="inlineStr">
        <is>
          <t>Dropper</t>
        </is>
      </c>
      <c r="F26" s="21" t="inlineStr">
        <is>
          <t>20-400</t>
        </is>
      </c>
      <c r="G26" s="21" t="inlineStr">
        <is>
          <t>60 ml Amber Boston Round Dropper Bottle</t>
        </is>
      </c>
      <c r="H26" s="21" t="inlineStr">
        <is>
          <t>Glass Bottle</t>
        </is>
      </c>
      <c r="I26" s="21" t="inlineStr">
        <is>
          <t>Boston Round</t>
        </is>
      </c>
      <c r="J26" s="21" t="inlineStr">
        <is>
          <t>boston-round-60ml-amber-20-400-dropper</t>
        </is>
      </c>
      <c r="K26" s="21" t="inlineStr">
        <is>
          <t>kh76pa5emzxqqfze0hhbnqya1n83jn5v</t>
        </is>
      </c>
      <c r="L26" s="21" t="inlineStr">
        <is>
          <t>GB-BSR-AMB-60ML-BLK-T-01</t>
        </is>
      </c>
      <c r="M26" s="21" t="inlineStr">
        <is>
          <t>GBBstnAmb2ozBlkDropperShnGlTrim</t>
        </is>
      </c>
      <c r="N26" s="21" t="inlineStr">
        <is>
          <t>GBBstnAmb2ozBlkDropperShnGlTrim, GBBstnAmb2ozBlkDrprShnSlTrim, GBBstnAmb2ozWhtDrpr, GBBstnAmb2ozWhtDropperShnGlTrim, GBBstnAmb2ozWhtDropperShnSlTrim</t>
        </is>
      </c>
      <c r="O26" s="22" t="inlineStr">
        <is>
          <t>https://www.bestbottles.com/product/boston-round-2-oz-amber-glass-bottle-black-dropper-shiny-gold-trim-cap</t>
        </is>
      </c>
      <c r="P26" s="23" t="inlineStr">
        <is>
          <t>No</t>
        </is>
      </c>
      <c r="Q26" s="21" t="n"/>
      <c r="R26" s="21" t="n">
        <v>6</v>
      </c>
      <c r="S26" s="21" t="n">
        <v>0.75</v>
      </c>
      <c r="T26" s="21" t="n">
        <v>0.9</v>
      </c>
      <c r="U26" s="21" t="n"/>
      <c r="V26" s="21" t="n"/>
      <c r="W26" s="21" t="n"/>
      <c r="X26" s="21" t="n"/>
    </row>
    <row r="27" ht="15" customHeight="1" s="19">
      <c r="A27" s="24" t="n">
        <v>26</v>
      </c>
      <c r="B27" s="24" t="inlineStr">
        <is>
          <t>Boston Round</t>
        </is>
      </c>
      <c r="C27" s="24" t="n">
        <v>60</v>
      </c>
      <c r="D27" s="24" t="inlineStr">
        <is>
          <t>Amber</t>
        </is>
      </c>
      <c r="E27" s="24" t="inlineStr">
        <is>
          <t>Metal Roller Ball, Plastic Roller Ball</t>
        </is>
      </c>
      <c r="F27" s="24" t="inlineStr">
        <is>
          <t>20-400</t>
        </is>
      </c>
      <c r="G27" s="24" t="inlineStr">
        <is>
          <t>60 ml Amber Boston Round Roll-On Bottle</t>
        </is>
      </c>
      <c r="H27" s="24" t="inlineStr">
        <is>
          <t>Glass Bottle</t>
        </is>
      </c>
      <c r="I27" s="24" t="inlineStr">
        <is>
          <t>Boston Round</t>
        </is>
      </c>
      <c r="J27" s="24" t="inlineStr">
        <is>
          <t>boston-round-60ml-amber-20-400-rollon</t>
        </is>
      </c>
      <c r="K27" s="24" t="inlineStr">
        <is>
          <t>kh71fh484peh58j1vkkwawrma983kvjf</t>
        </is>
      </c>
      <c r="L27" s="24" t="inlineStr">
        <is>
          <t>GB-BSR-AMB-60ML-MRL-MBLK</t>
        </is>
      </c>
      <c r="M27" s="24" t="inlineStr">
        <is>
          <t>GBBstnAmb2ozMtlRollonMattBlk</t>
        </is>
      </c>
      <c r="N27" s="24" t="inlineStr">
        <is>
          <t>GBBstnAmb2ozMtlRollonMattBlk, GBBstnAmb2ozMtlRollonMattGl, GBBstnAmb2ozMtlRollonMattSl, GBBstnAmb2ozMtlRollonShnSl, GBBstnAmb2ozRollonMattGl, GBBstnAmb2ozRollonMattBlk, GBBstnAmb2ozRollonMattSl, GBBstnAmb2ozRollonShnSl, GBBstnAmb2ozRollonShnBlk</t>
        </is>
      </c>
      <c r="O27" s="25" t="inlineStr">
        <is>
          <t>https://www.bestbottles.com/product/boston-round-2-oz-amber-glass-bottle-metal-roller-ball-matte-black-cap</t>
        </is>
      </c>
      <c r="P27" s="23" t="inlineStr">
        <is>
          <t>No</t>
        </is>
      </c>
      <c r="Q27" s="24" t="n"/>
      <c r="R27" s="24" t="n">
        <v>11</v>
      </c>
      <c r="S27" s="24" t="n">
        <v>0.95</v>
      </c>
      <c r="T27" s="24" t="n">
        <v>1.1</v>
      </c>
      <c r="U27" s="24" t="n"/>
      <c r="V27" s="24" t="n"/>
      <c r="W27" s="24" t="n"/>
      <c r="X27" s="24" t="n"/>
    </row>
    <row r="28" ht="15" customHeight="1" s="19">
      <c r="A28" s="21" t="n">
        <v>27</v>
      </c>
      <c r="B28" s="21" t="inlineStr">
        <is>
          <t>Boston Round</t>
        </is>
      </c>
      <c r="C28" s="21" t="n">
        <v>60</v>
      </c>
      <c r="D28" s="21" t="inlineStr">
        <is>
          <t>Clear</t>
        </is>
      </c>
      <c r="E28" s="21" t="inlineStr">
        <is>
          <t>Cap/Closure</t>
        </is>
      </c>
      <c r="F28" s="21" t="inlineStr">
        <is>
          <t>20-400</t>
        </is>
      </c>
      <c r="G28" s="21" t="inlineStr">
        <is>
          <t>60 ml Clear Boston Round Bottle with Cap</t>
        </is>
      </c>
      <c r="H28" s="21" t="inlineStr">
        <is>
          <t>Glass Bottle</t>
        </is>
      </c>
      <c r="I28" s="21" t="inlineStr">
        <is>
          <t>Boston Round</t>
        </is>
      </c>
      <c r="J28" s="21" t="inlineStr">
        <is>
          <t>boston-round-60ml-clear-20-400</t>
        </is>
      </c>
      <c r="K28" s="21" t="inlineStr">
        <is>
          <t>kh7et2z1x51nbad88r7dq7g34x83j59f</t>
        </is>
      </c>
      <c r="L28" s="21" t="inlineStr">
        <is>
          <t>GB-BSR-CLR-60ML-BLK-S</t>
        </is>
      </c>
      <c r="M28" s="21" t="inlineStr">
        <is>
          <t>GBBstn2ozBlkCapSht</t>
        </is>
      </c>
      <c r="N28" s="21" t="inlineStr">
        <is>
          <t>GBBstn2ozBlkCapSht</t>
        </is>
      </c>
      <c r="O28" s="22" t="inlineStr">
        <is>
          <t>https://www.bestbottles.com/product/boston-round-2-oz-clear-glass-bottle-short-black-cap</t>
        </is>
      </c>
      <c r="P28" s="23" t="inlineStr">
        <is>
          <t>No</t>
        </is>
      </c>
      <c r="Q28" s="21" t="n"/>
      <c r="R28" s="21" t="n">
        <v>1</v>
      </c>
      <c r="S28" s="21" t="n">
        <v>0.5</v>
      </c>
      <c r="T28" s="21" t="n">
        <v>0.5</v>
      </c>
      <c r="U28" s="21" t="n"/>
      <c r="V28" s="21" t="n"/>
      <c r="W28" s="21" t="n"/>
      <c r="X28" s="21" t="n"/>
    </row>
    <row r="29" ht="15" customHeight="1" s="19">
      <c r="A29" s="24" t="n">
        <v>28</v>
      </c>
      <c r="B29" s="24" t="inlineStr">
        <is>
          <t>Boston Round</t>
        </is>
      </c>
      <c r="C29" s="24" t="n">
        <v>60</v>
      </c>
      <c r="D29" s="24" t="inlineStr">
        <is>
          <t>Clear</t>
        </is>
      </c>
      <c r="E29" s="24" t="inlineStr">
        <is>
          <t>Dropper</t>
        </is>
      </c>
      <c r="F29" s="24" t="inlineStr">
        <is>
          <t>20-400</t>
        </is>
      </c>
      <c r="G29" s="24" t="inlineStr">
        <is>
          <t>60 ml Clear Boston Round Dropper Bottle</t>
        </is>
      </c>
      <c r="H29" s="24" t="inlineStr">
        <is>
          <t>Glass Bottle</t>
        </is>
      </c>
      <c r="I29" s="24" t="inlineStr">
        <is>
          <t>Boston Round</t>
        </is>
      </c>
      <c r="J29" s="24" t="inlineStr">
        <is>
          <t>boston-round-60ml-clear-20-400-dropper</t>
        </is>
      </c>
      <c r="K29" s="24" t="inlineStr">
        <is>
          <t>kh749ym1nb1fw06d1cfdv2c9nn83jbqw</t>
        </is>
      </c>
      <c r="L29" s="24" t="inlineStr">
        <is>
          <t>GB-BSR-CLR-60ML-WHT-T-01</t>
        </is>
      </c>
      <c r="M29" s="24" t="inlineStr">
        <is>
          <t>GBBstn2ozWhtDrpr</t>
        </is>
      </c>
      <c r="N29" s="24" t="inlineStr">
        <is>
          <t>GBBstn2ozWhtDrpr, GBBstn2ozBlkDrprShnGlTrim, GBBstn2ozWhtDrprShnSlTrim, GBBstn2ozBlkDrprShnSlTrim, GBBstn2ozWhtDrprShnGlTrim</t>
        </is>
      </c>
      <c r="O29" s="25" t="inlineStr">
        <is>
          <t>https://www.bestbottles.com/product/boston-round-2-oz-clear-glass-bottle-white-dropper</t>
        </is>
      </c>
      <c r="P29" s="23" t="inlineStr">
        <is>
          <t>No</t>
        </is>
      </c>
      <c r="Q29" s="24" t="n"/>
      <c r="R29" s="24" t="n">
        <v>6</v>
      </c>
      <c r="S29" s="24" t="n">
        <v>0.75</v>
      </c>
      <c r="T29" s="24" t="n">
        <v>0.9</v>
      </c>
      <c r="U29" s="24" t="n"/>
      <c r="V29" s="24" t="n"/>
      <c r="W29" s="24" t="n"/>
      <c r="X29" s="24" t="n"/>
    </row>
    <row r="30" ht="15" customHeight="1" s="19">
      <c r="A30" s="21" t="n">
        <v>29</v>
      </c>
      <c r="B30" s="21" t="inlineStr">
        <is>
          <t>Boston Round</t>
        </is>
      </c>
      <c r="C30" s="21" t="n">
        <v>60</v>
      </c>
      <c r="D30" s="21" t="inlineStr">
        <is>
          <t>Clear</t>
        </is>
      </c>
      <c r="E30" s="21" t="inlineStr">
        <is>
          <t>Metal Roller Ball, Plastic Roller Ball</t>
        </is>
      </c>
      <c r="F30" s="21" t="inlineStr">
        <is>
          <t>20-400</t>
        </is>
      </c>
      <c r="G30" s="21" t="inlineStr">
        <is>
          <t>60 ml Clear Boston Round Roll-On Bottle</t>
        </is>
      </c>
      <c r="H30" s="21" t="inlineStr">
        <is>
          <t>Glass Bottle</t>
        </is>
      </c>
      <c r="I30" s="21" t="inlineStr">
        <is>
          <t>Boston Round</t>
        </is>
      </c>
      <c r="J30" s="21" t="inlineStr">
        <is>
          <t>boston-round-60ml-clear-20-400-rollon</t>
        </is>
      </c>
      <c r="K30" s="21" t="inlineStr">
        <is>
          <t>kh7er149qmh3htzhyqsc62aajx83jwxb</t>
        </is>
      </c>
      <c r="L30" s="21" t="inlineStr">
        <is>
          <t>GB-BSR-CLR-60ML-MRL-SGLD</t>
        </is>
      </c>
      <c r="M30" s="21" t="inlineStr">
        <is>
          <t>GBBstn2ozMtlRollGl</t>
        </is>
      </c>
      <c r="N30" s="21" t="inlineStr">
        <is>
          <t>GBBstn2ozMtlRollGl, GBBstn2ozMtlRollMattBlk, GBBstn2ozMtlRollMattGl, GBBstn2ozMtlRollMattSl, GBBstn2ozMtlRollShnSl, GBBstn2ozRollShnBlk, GBBstn2ozRollonMattGl, GBBstn2ozRollMattBlk, GBBstn2ozRollMattSl, GBBstn2ozRollShnSl</t>
        </is>
      </c>
      <c r="O30" s="22" t="inlineStr">
        <is>
          <t>https://www.bestbottles.com/product/boston-round-2-oz-clear-glass-bottle-metal-roller-ball-shiny-gold-cap</t>
        </is>
      </c>
      <c r="P30" s="23" t="inlineStr">
        <is>
          <t>No</t>
        </is>
      </c>
      <c r="Q30" s="21" t="n"/>
      <c r="R30" s="21" t="n">
        <v>12</v>
      </c>
      <c r="S30" s="21" t="n">
        <v>0.95</v>
      </c>
      <c r="T30" s="21" t="n">
        <v>1.1</v>
      </c>
      <c r="U30" s="21" t="n"/>
      <c r="V30" s="21" t="n"/>
      <c r="W30" s="21" t="n"/>
      <c r="X30" s="21" t="n"/>
    </row>
    <row r="31" ht="15" customHeight="1" s="19">
      <c r="A31" s="24" t="n">
        <v>30</v>
      </c>
      <c r="B31" s="24" t="inlineStr">
        <is>
          <t>Boston Round</t>
        </is>
      </c>
      <c r="C31" s="24" t="n">
        <v>60</v>
      </c>
      <c r="D31" s="24" t="inlineStr">
        <is>
          <t>Cobalt Blue</t>
        </is>
      </c>
      <c r="E31" s="24" t="inlineStr">
        <is>
          <t>Cap/Closure</t>
        </is>
      </c>
      <c r="F31" s="24" t="inlineStr">
        <is>
          <t>20-400</t>
        </is>
      </c>
      <c r="G31" s="24" t="inlineStr">
        <is>
          <t>60 ml Cobalt Blue Boston Round Bottle with Cap</t>
        </is>
      </c>
      <c r="H31" s="24" t="inlineStr">
        <is>
          <t>Glass Bottle</t>
        </is>
      </c>
      <c r="I31" s="24" t="inlineStr">
        <is>
          <t>Boston Round</t>
        </is>
      </c>
      <c r="J31" s="24" t="inlineStr">
        <is>
          <t>boston-round-60ml-cobalt-blue-20-400</t>
        </is>
      </c>
      <c r="K31" s="24" t="inlineStr">
        <is>
          <t>kh78ktkha8ezsg055nsty1c2yh83jm8y</t>
        </is>
      </c>
      <c r="L31" s="24" t="n"/>
      <c r="M31" s="24" t="n"/>
      <c r="N31" s="24" t="n"/>
      <c r="O31" s="24" t="n"/>
      <c r="P31" s="23" t="inlineStr">
        <is>
          <t>No</t>
        </is>
      </c>
      <c r="Q31" s="24" t="n"/>
      <c r="R31" s="24" t="n">
        <v>1</v>
      </c>
      <c r="S31" s="24" t="n">
        <v>0.5</v>
      </c>
      <c r="T31" s="24" t="n">
        <v>0.5</v>
      </c>
      <c r="U31" s="24" t="n"/>
      <c r="V31" s="24" t="n"/>
      <c r="W31" s="24" t="n"/>
      <c r="X31" s="24" t="n"/>
    </row>
    <row r="32" ht="15" customHeight="1" s="19">
      <c r="A32" s="21" t="n">
        <v>31</v>
      </c>
      <c r="B32" s="21" t="inlineStr">
        <is>
          <t>Boston Round</t>
        </is>
      </c>
      <c r="C32" s="21" t="n">
        <v>60</v>
      </c>
      <c r="D32" s="21" t="inlineStr">
        <is>
          <t>Cobalt Blue</t>
        </is>
      </c>
      <c r="E32" s="21" t="inlineStr">
        <is>
          <t>Dropper</t>
        </is>
      </c>
      <c r="F32" s="21" t="inlineStr">
        <is>
          <t>20-400</t>
        </is>
      </c>
      <c r="G32" s="21" t="inlineStr">
        <is>
          <t>60 ml Cobalt Blue Boston Round Dropper Bottle</t>
        </is>
      </c>
      <c r="H32" s="21" t="inlineStr">
        <is>
          <t>Glass Bottle</t>
        </is>
      </c>
      <c r="I32" s="21" t="inlineStr">
        <is>
          <t>Boston Round</t>
        </is>
      </c>
      <c r="J32" s="21" t="inlineStr">
        <is>
          <t>boston-round-60ml-cobalt-blue-20-400-dropper</t>
        </is>
      </c>
      <c r="K32" s="21" t="inlineStr">
        <is>
          <t>kh79fy1y6vgbzfy81n3ym4d5d183ky22</t>
        </is>
      </c>
      <c r="L32" s="21" t="inlineStr">
        <is>
          <t>GB-BSR-CBL-60ML-BLK-T-02</t>
        </is>
      </c>
      <c r="M32" s="21" t="inlineStr">
        <is>
          <t>GBBstnBlu2ozBlkDropperShnGlTrim</t>
        </is>
      </c>
      <c r="N32" s="21" t="inlineStr">
        <is>
          <t>GBBstnBlu2ozBlkDropperShnGlTrim, GBBstnBlu2ozWhtDropper, GBBstnBlu2ozWhtDropperShnGlTrim, GBBstnBlu2ozWhtDropperShnSlTrim</t>
        </is>
      </c>
      <c r="O32" s="22" t="inlineStr">
        <is>
          <t>https://www.bestbottles.com/product/boston-round-2-oz-cobalt-blue-glass-bottle-black-dropper-shiny-silver-trim-cap</t>
        </is>
      </c>
      <c r="P32" s="23" t="inlineStr">
        <is>
          <t>No</t>
        </is>
      </c>
      <c r="Q32" s="21" t="n"/>
      <c r="R32" s="21" t="n">
        <v>5</v>
      </c>
      <c r="S32" s="21" t="n">
        <v>0.75</v>
      </c>
      <c r="T32" s="21" t="n">
        <v>0.9</v>
      </c>
      <c r="U32" s="21" t="n"/>
      <c r="V32" s="21" t="n"/>
      <c r="W32" s="21" t="n"/>
      <c r="X32" s="21" t="n"/>
    </row>
    <row r="33" ht="15" customHeight="1" s="19">
      <c r="A33" s="24" t="n">
        <v>32</v>
      </c>
      <c r="B33" s="24" t="inlineStr">
        <is>
          <t>Boston Round</t>
        </is>
      </c>
      <c r="C33" s="24" t="n">
        <v>60</v>
      </c>
      <c r="D33" s="24" t="inlineStr">
        <is>
          <t>Cobalt Blue</t>
        </is>
      </c>
      <c r="E33" s="24" t="inlineStr">
        <is>
          <t>Metal Roller Ball, Plastic Roller Ball</t>
        </is>
      </c>
      <c r="F33" s="24" t="inlineStr">
        <is>
          <t>20-400</t>
        </is>
      </c>
      <c r="G33" s="24" t="inlineStr">
        <is>
          <t>60 ml Cobalt Blue Boston Round Roll-On Bottle</t>
        </is>
      </c>
      <c r="H33" s="24" t="inlineStr">
        <is>
          <t>Glass Bottle</t>
        </is>
      </c>
      <c r="I33" s="24" t="inlineStr">
        <is>
          <t>Boston Round</t>
        </is>
      </c>
      <c r="J33" s="24" t="inlineStr">
        <is>
          <t>boston-round-60ml-cobalt-blue-20-400-rollon</t>
        </is>
      </c>
      <c r="K33" s="24" t="inlineStr">
        <is>
          <t>kh77xagzregbgtaj03zsj6p8as83jr05</t>
        </is>
      </c>
      <c r="L33" s="24" t="inlineStr">
        <is>
          <t>GB-BSR-BLU-60ML-MRO-MBLK</t>
        </is>
      </c>
      <c r="M33" s="24" t="inlineStr">
        <is>
          <t>GBBstnBlu2ozMtlRollonMattBlk</t>
        </is>
      </c>
      <c r="N33" s="24" t="inlineStr">
        <is>
          <t>GBBstnBlu2ozMtlRollonMattBlk, GBBstnBlu2ozMtlRollonMattGl, GBBstnBlu2ozMtlRollonMattSl, GBBstnBlu2ozMtlRollonShnSl, GBBstnBlu2ozRollonMattGl, GBBstnBlu2ozRollonMattBlk, GBBstnBlu2ozRollonMattSl, GBBstnBlu2ozRollonShnSl, GBBstnBlu2ozRollonShnBlk</t>
        </is>
      </c>
      <c r="O33" s="25" t="inlineStr">
        <is>
          <t>https://www.bestbottles.com/product/boston-round-2-oz-cobalt-blue-glass-bottle-metal-roller-ball-matte-black-cap</t>
        </is>
      </c>
      <c r="P33" s="23" t="inlineStr">
        <is>
          <t>No</t>
        </is>
      </c>
      <c r="Q33" s="24" t="n"/>
      <c r="R33" s="24" t="n">
        <v>11</v>
      </c>
      <c r="S33" s="24" t="n">
        <v>0.95</v>
      </c>
      <c r="T33" s="24" t="n">
        <v>1.1</v>
      </c>
      <c r="U33" s="24" t="n"/>
      <c r="V33" s="24" t="n"/>
      <c r="W33" s="24" t="n"/>
      <c r="X33" s="24" t="n"/>
    </row>
    <row r="34" ht="15" customHeight="1" s="19">
      <c r="A34" s="21" t="n">
        <v>33</v>
      </c>
      <c r="B34" s="21" t="inlineStr">
        <is>
          <t>Circle</t>
        </is>
      </c>
      <c r="C34" s="21" t="n">
        <v>15</v>
      </c>
      <c r="D34" s="21" t="inlineStr">
        <is>
          <t>Clear</t>
        </is>
      </c>
      <c r="E34" s="21" t="inlineStr">
        <is>
          <t>Cap/Closure</t>
        </is>
      </c>
      <c r="F34" s="21" t="inlineStr">
        <is>
          <t>13-415</t>
        </is>
      </c>
      <c r="G34" s="21" t="inlineStr">
        <is>
          <t>15 ml Clear Circle Bottle with Cap</t>
        </is>
      </c>
      <c r="H34" s="21" t="inlineStr">
        <is>
          <t>Glass Bottle</t>
        </is>
      </c>
      <c r="I34" s="21" t="inlineStr">
        <is>
          <t>Circle</t>
        </is>
      </c>
      <c r="J34" s="21" t="inlineStr">
        <is>
          <t>circle-15ml-clear-13-415</t>
        </is>
      </c>
      <c r="K34" s="21" t="inlineStr">
        <is>
          <t>kh79714cytrh3ycr5jdx5ca9yn83kssb</t>
        </is>
      </c>
      <c r="L34" s="21" t="inlineStr">
        <is>
          <t>GB-CIR-CLR-15ML-GLD-T</t>
        </is>
      </c>
      <c r="M34" s="21" t="inlineStr">
        <is>
          <t>GBCrcl15Gl</t>
        </is>
      </c>
      <c r="N34" s="21" t="inlineStr">
        <is>
          <t>GBCrcl15Gl, GBCrcl15Sl, GBCrcl15WhtSht, GBCrcl15BlkSht</t>
        </is>
      </c>
      <c r="O34" s="22" t="inlineStr">
        <is>
          <t>https://www.bestbottles.com/product/circle-design-15-ml-bottle-shiny-gold-cap</t>
        </is>
      </c>
      <c r="P34" s="23" t="inlineStr">
        <is>
          <t>No</t>
        </is>
      </c>
      <c r="Q34" s="21" t="n"/>
      <c r="R34" s="21" t="n">
        <v>4</v>
      </c>
      <c r="S34" s="21" t="n">
        <v>0.44</v>
      </c>
      <c r="T34" s="21" t="n">
        <v>0.62</v>
      </c>
      <c r="U34" s="21" t="n"/>
      <c r="V34" s="21" t="n"/>
      <c r="W34" s="21" t="n"/>
      <c r="X34" s="21" t="n"/>
    </row>
    <row r="35" ht="15" customHeight="1" s="19">
      <c r="A35" s="24" t="n">
        <v>34</v>
      </c>
      <c r="B35" s="24" t="inlineStr">
        <is>
          <t>Circle</t>
        </is>
      </c>
      <c r="C35" s="24" t="n">
        <v>15</v>
      </c>
      <c r="D35" s="24" t="inlineStr">
        <is>
          <t>Clear</t>
        </is>
      </c>
      <c r="E35" s="24" t="inlineStr">
        <is>
          <t>Fine Mist Sprayer</t>
        </is>
      </c>
      <c r="F35" s="24" t="inlineStr">
        <is>
          <t>13-415</t>
        </is>
      </c>
      <c r="G35" s="24" t="inlineStr">
        <is>
          <t>15 ml Clear Circle Fine Mist Spray Bottle</t>
        </is>
      </c>
      <c r="H35" s="24" t="inlineStr">
        <is>
          <t>Glass Bottle</t>
        </is>
      </c>
      <c r="I35" s="24" t="inlineStr">
        <is>
          <t>Circle</t>
        </is>
      </c>
      <c r="J35" s="24" t="inlineStr">
        <is>
          <t>circle-15ml-clear-13-415-finemist</t>
        </is>
      </c>
      <c r="K35" s="24" t="inlineStr">
        <is>
          <t>kh7f52btez6qp6mvrk0x52vgnd83kp84</t>
        </is>
      </c>
      <c r="L35" s="24" t="inlineStr">
        <is>
          <t>GB-CIR-CLR-15ML-SPR-MBLK</t>
        </is>
      </c>
      <c r="M35" s="24" t="inlineStr">
        <is>
          <t>GBCrcl15SpryBlkMatt</t>
        </is>
      </c>
      <c r="N35" s="24" t="inlineStr">
        <is>
          <t>GBCrcl15SpryBlkMatt</t>
        </is>
      </c>
      <c r="O35" s="25" t="inlineStr">
        <is>
          <t>https://www.bestbottles.com/product/circle-design-15-ml-bottle-matte-black-spray</t>
        </is>
      </c>
      <c r="P35" s="23" t="inlineStr">
        <is>
          <t>No</t>
        </is>
      </c>
      <c r="Q35" s="24" t="n"/>
      <c r="R35" s="24" t="n">
        <v>8</v>
      </c>
      <c r="S35" s="24" t="n">
        <v>0.97</v>
      </c>
      <c r="T35" s="24" t="n">
        <v>0.97</v>
      </c>
      <c r="U35" s="24" t="n"/>
      <c r="V35" s="24" t="n"/>
      <c r="W35" s="24" t="n"/>
      <c r="X35" s="24" t="n"/>
    </row>
    <row r="36" ht="15" customHeight="1" s="19">
      <c r="A36" s="21" t="n">
        <v>35</v>
      </c>
      <c r="B36" s="21" t="inlineStr">
        <is>
          <t>Circle</t>
        </is>
      </c>
      <c r="C36" s="21" t="n">
        <v>15</v>
      </c>
      <c r="D36" s="21" t="inlineStr">
        <is>
          <t>Clear</t>
        </is>
      </c>
      <c r="E36" s="21" t="inlineStr">
        <is>
          <t>Plastic Roller Ball</t>
        </is>
      </c>
      <c r="F36" s="21" t="inlineStr">
        <is>
          <t>13-415</t>
        </is>
      </c>
      <c r="G36" s="21" t="inlineStr">
        <is>
          <t>15 ml Clear Circle Roll-On Bottle</t>
        </is>
      </c>
      <c r="H36" s="21" t="inlineStr">
        <is>
          <t>Glass Bottle</t>
        </is>
      </c>
      <c r="I36" s="21" t="inlineStr">
        <is>
          <t>Circle</t>
        </is>
      </c>
      <c r="J36" s="21" t="inlineStr">
        <is>
          <t>circle-15ml-clear-13-415-rollon</t>
        </is>
      </c>
      <c r="K36" s="21" t="inlineStr">
        <is>
          <t>kh7714036h7avy03vwfhfdz27x83k3aj</t>
        </is>
      </c>
      <c r="L36" s="21" t="inlineStr">
        <is>
          <t>GB-CIR-CLR-15ML-ROL-SBLK</t>
        </is>
      </c>
      <c r="M36" s="21" t="inlineStr">
        <is>
          <t>GBCrcl15RollBlkSh</t>
        </is>
      </c>
      <c r="N36" s="21" t="inlineStr">
        <is>
          <t>GBCrcl15RollBlkSh, GBCrcl15RollCuMatt, GBCrcl15RollGlMatt, GBCrcl15RollGlSh, GBCrcl15RollPinkDot, GBCrcl15RollSlDot, GBCrcl15RollSlMatt, GBCrcl15RollSlSh, GBCrcl15RollBlkDot</t>
        </is>
      </c>
      <c r="O36" s="22" t="inlineStr">
        <is>
          <t>https://www.bestbottles.com/product/circle-design-15-ml-bottle-plastic-roller-ball-plug-black-shiny-cap</t>
        </is>
      </c>
      <c r="P36" s="23" t="inlineStr">
        <is>
          <t>No</t>
        </is>
      </c>
      <c r="Q36" s="21" t="n"/>
      <c r="R36" s="21" t="n">
        <v>18</v>
      </c>
      <c r="S36" s="21" t="n">
        <v>0.74</v>
      </c>
      <c r="T36" s="21" t="n">
        <v>0.89</v>
      </c>
      <c r="U36" s="21" t="n"/>
      <c r="V36" s="21" t="n"/>
      <c r="W36" s="21" t="n"/>
      <c r="X36" s="21" t="n"/>
    </row>
    <row r="37" ht="15" customHeight="1" s="19">
      <c r="A37" s="24" t="n">
        <v>36</v>
      </c>
      <c r="B37" s="24" t="inlineStr">
        <is>
          <t>Circle</t>
        </is>
      </c>
      <c r="C37" s="24" t="n">
        <v>30</v>
      </c>
      <c r="D37" s="24" t="inlineStr">
        <is>
          <t>Clear</t>
        </is>
      </c>
      <c r="E37" s="24" t="inlineStr">
        <is>
          <t>Cap/Closure</t>
        </is>
      </c>
      <c r="F37" s="24" t="inlineStr">
        <is>
          <t>15-415</t>
        </is>
      </c>
      <c r="G37" s="24" t="inlineStr">
        <is>
          <t>30 ml Clear Circle Bottle with Cap</t>
        </is>
      </c>
      <c r="H37" s="24" t="inlineStr">
        <is>
          <t>Glass Bottle</t>
        </is>
      </c>
      <c r="I37" s="24" t="inlineStr">
        <is>
          <t>Circle</t>
        </is>
      </c>
      <c r="J37" s="24" t="inlineStr">
        <is>
          <t>circle-30ml-clear-15-415</t>
        </is>
      </c>
      <c r="K37" s="24" t="inlineStr">
        <is>
          <t>kh79ct48bayjn5660asde3h0cn83kcpe</t>
        </is>
      </c>
      <c r="L37" s="24" t="inlineStr">
        <is>
          <t>GB-CIR-CLR-30ML-GLD-T</t>
        </is>
      </c>
      <c r="M37" s="24" t="inlineStr">
        <is>
          <t>GBCrcl30GlCap</t>
        </is>
      </c>
      <c r="N37" s="24" t="inlineStr">
        <is>
          <t>GBCrcl30GlCap, GBCrcl30SlCap</t>
        </is>
      </c>
      <c r="O37" s="25" t="inlineStr">
        <is>
          <t>https://www.bestbottles.com/product/circle-design-30-ml-clear-glass-bottle-shiny-gold-cap</t>
        </is>
      </c>
      <c r="P37" s="23" t="inlineStr">
        <is>
          <t>No</t>
        </is>
      </c>
      <c r="Q37" s="24" t="n"/>
      <c r="R37" s="24" t="n">
        <v>2</v>
      </c>
      <c r="S37" s="24" t="n">
        <v>1.4</v>
      </c>
      <c r="T37" s="24" t="n">
        <v>1.4</v>
      </c>
      <c r="U37" s="24" t="n"/>
      <c r="V37" s="24" t="n"/>
      <c r="W37" s="24" t="n"/>
      <c r="X37" s="24" t="n"/>
    </row>
    <row r="38" ht="15" customHeight="1" s="19">
      <c r="A38" s="21" t="n">
        <v>37</v>
      </c>
      <c r="B38" s="21" t="inlineStr">
        <is>
          <t>Circle</t>
        </is>
      </c>
      <c r="C38" s="21" t="n">
        <v>30</v>
      </c>
      <c r="D38" s="21" t="inlineStr">
        <is>
          <t>Clear</t>
        </is>
      </c>
      <c r="E38" s="21" t="inlineStr">
        <is>
          <t>Perfume Spray Pump</t>
        </is>
      </c>
      <c r="F38" s="21" t="inlineStr">
        <is>
          <t>15-415</t>
        </is>
      </c>
      <c r="G38" s="21" t="inlineStr">
        <is>
          <t>30 ml Clear Circle Bottle</t>
        </is>
      </c>
      <c r="H38" s="21" t="inlineStr">
        <is>
          <t>Glass Bottle</t>
        </is>
      </c>
      <c r="I38" s="21" t="inlineStr">
        <is>
          <t>Circle</t>
        </is>
      </c>
      <c r="J38" s="21" t="inlineStr">
        <is>
          <t>circle-30ml-clear-15-415-perfumespray</t>
        </is>
      </c>
      <c r="K38" s="21" t="inlineStr">
        <is>
          <t>kh79jg7f379p1htf0f50eha17n83jd0k</t>
        </is>
      </c>
      <c r="L38" s="21" t="inlineStr">
        <is>
          <t>GB-CIR-BLK-30ML-SPR-BLK</t>
        </is>
      </c>
      <c r="M38" s="21" t="inlineStr">
        <is>
          <t>GBCrcl30SpryBlk</t>
        </is>
      </c>
      <c r="N38" s="21" t="inlineStr">
        <is>
          <t>GBCrcl30SpryBlk</t>
        </is>
      </c>
      <c r="O38" s="22" t="inlineStr">
        <is>
          <t>https://www.bestbottles.com/product/circle-design-30-ml-clear-glass-bottle-sprayer-black-cap</t>
        </is>
      </c>
      <c r="P38" s="23" t="inlineStr">
        <is>
          <t>No</t>
        </is>
      </c>
      <c r="Q38" s="21" t="n"/>
      <c r="R38" s="21" t="n">
        <v>5</v>
      </c>
      <c r="S38" s="21" t="n">
        <v>2.25</v>
      </c>
      <c r="T38" s="21" t="n">
        <v>2.25</v>
      </c>
      <c r="U38" s="21" t="n"/>
      <c r="V38" s="21" t="n"/>
      <c r="W38" s="21" t="n"/>
      <c r="X38" s="21" t="n"/>
    </row>
    <row r="39" ht="15" customHeight="1" s="19">
      <c r="A39" s="24" t="n">
        <v>38</v>
      </c>
      <c r="B39" s="24" t="inlineStr">
        <is>
          <t>Circle</t>
        </is>
      </c>
      <c r="C39" s="24" t="n">
        <v>50</v>
      </c>
      <c r="D39" s="24" t="inlineStr">
        <is>
          <t>Clear</t>
        </is>
      </c>
      <c r="E39" s="24" t="inlineStr">
        <is>
          <t>Dropper</t>
        </is>
      </c>
      <c r="F39" s="24" t="inlineStr">
        <is>
          <t>18-415</t>
        </is>
      </c>
      <c r="G39" s="24" t="inlineStr">
        <is>
          <t>50 ml Clear Circle Dropper Bottle</t>
        </is>
      </c>
      <c r="H39" s="24" t="inlineStr">
        <is>
          <t>Glass Bottle</t>
        </is>
      </c>
      <c r="I39" s="24" t="inlineStr">
        <is>
          <t>Circle</t>
        </is>
      </c>
      <c r="J39" s="24" t="inlineStr">
        <is>
          <t>circle-50ml-clear-18-415-dropper</t>
        </is>
      </c>
      <c r="K39" s="24" t="inlineStr">
        <is>
          <t>kh78db9xnh6bxrcqdwqhphrrqn83ksp4</t>
        </is>
      </c>
      <c r="L39" s="24" t="inlineStr">
        <is>
          <t>GB-CIR-CLR-50ML-DRP-SLV</t>
        </is>
      </c>
      <c r="M39" s="24" t="inlineStr">
        <is>
          <t>GBCrcl50DrpSl</t>
        </is>
      </c>
      <c r="N39" s="24" t="inlineStr">
        <is>
          <t>GBCrcl50DrpSl, GBCrcl50DrpGl</t>
        </is>
      </c>
      <c r="O39" s="25" t="inlineStr">
        <is>
          <t>https://www.bestbottles.com/product/circle-design-50-ml-glass-bottle-white-dropper-shiny-silver-collar-cap</t>
        </is>
      </c>
      <c r="P39" s="23" t="inlineStr">
        <is>
          <t>No</t>
        </is>
      </c>
      <c r="Q39" s="24" t="n"/>
      <c r="R39" s="24" t="n">
        <v>3</v>
      </c>
      <c r="S39" s="24" t="n">
        <v>1.75</v>
      </c>
      <c r="T39" s="24" t="n">
        <v>1.75</v>
      </c>
      <c r="U39" s="24" t="n"/>
      <c r="V39" s="24" t="n"/>
      <c r="W39" s="24" t="n"/>
      <c r="X39" s="24" t="n"/>
    </row>
    <row r="40" ht="15" customHeight="1" s="19">
      <c r="A40" s="21" t="n">
        <v>39</v>
      </c>
      <c r="B40" s="21" t="inlineStr">
        <is>
          <t>Circle</t>
        </is>
      </c>
      <c r="C40" s="21" t="n">
        <v>50</v>
      </c>
      <c r="D40" s="21" t="inlineStr">
        <is>
          <t>Clear</t>
        </is>
      </c>
      <c r="E40" s="21" t="inlineStr">
        <is>
          <t>Lotion Pump</t>
        </is>
      </c>
      <c r="F40" s="21" t="inlineStr">
        <is>
          <t>18-415</t>
        </is>
      </c>
      <c r="G40" s="21" t="inlineStr">
        <is>
          <t>50 ml Clear Circle Lotion Pump Bottle</t>
        </is>
      </c>
      <c r="H40" s="21" t="inlineStr">
        <is>
          <t>Glass Bottle</t>
        </is>
      </c>
      <c r="I40" s="21" t="inlineStr">
        <is>
          <t>Circle</t>
        </is>
      </c>
      <c r="J40" s="21" t="inlineStr">
        <is>
          <t>circle-50ml-clear-18-415-lotionpump</t>
        </is>
      </c>
      <c r="K40" s="21" t="inlineStr">
        <is>
          <t>kh72hg7gastpgkf0vvydef5d6d83jy3a</t>
        </is>
      </c>
      <c r="L40" s="21" t="n"/>
      <c r="M40" s="21" t="n"/>
      <c r="N40" s="21" t="n"/>
      <c r="O40" s="21" t="n"/>
      <c r="P40" s="23" t="inlineStr">
        <is>
          <t>No</t>
        </is>
      </c>
      <c r="Q40" s="21" t="n"/>
      <c r="R40" s="21" t="n">
        <v>7</v>
      </c>
      <c r="S40" s="21" t="n">
        <v>2.6</v>
      </c>
      <c r="T40" s="21" t="n">
        <v>2.6</v>
      </c>
      <c r="U40" s="21" t="n"/>
      <c r="V40" s="21" t="n"/>
      <c r="W40" s="21" t="n"/>
      <c r="X40" s="21" t="n"/>
    </row>
    <row r="41" ht="15" customHeight="1" s="19">
      <c r="A41" s="24" t="n">
        <v>40</v>
      </c>
      <c r="B41" s="24" t="inlineStr">
        <is>
          <t>Circle</t>
        </is>
      </c>
      <c r="C41" s="24" t="n">
        <v>50</v>
      </c>
      <c r="D41" s="24" t="inlineStr">
        <is>
          <t>Clear</t>
        </is>
      </c>
      <c r="E41" s="24" t="inlineStr">
        <is>
          <t>Perfume Spray Pump</t>
        </is>
      </c>
      <c r="F41" s="24" t="inlineStr">
        <is>
          <t>18-415</t>
        </is>
      </c>
      <c r="G41" s="24" t="inlineStr">
        <is>
          <t>50 ml Clear Circle Bottle</t>
        </is>
      </c>
      <c r="H41" s="24" t="inlineStr">
        <is>
          <t>Glass Bottle</t>
        </is>
      </c>
      <c r="I41" s="24" t="inlineStr">
        <is>
          <t>Circle</t>
        </is>
      </c>
      <c r="J41" s="24" t="inlineStr">
        <is>
          <t>circle-50ml-clear-18-415-perfumespray</t>
        </is>
      </c>
      <c r="K41" s="24" t="inlineStr">
        <is>
          <t>kh7ewg149nvqray49hew2agw7583kqar</t>
        </is>
      </c>
      <c r="L41" s="24" t="inlineStr">
        <is>
          <t>GB-CIR-CLR-50ML-SPR-MSLV</t>
        </is>
      </c>
      <c r="M41" s="24" t="inlineStr">
        <is>
          <t>GBCrcl50SpryMtSl</t>
        </is>
      </c>
      <c r="N41" s="24" t="inlineStr">
        <is>
          <t>GBCrcl50SpryMtSl, GBCrcl50SpryMtGl, GBCrcl50SpryShnGl, GBCrcl50SpryShnBlk, GBCrcl50SpryShnSl, GBCrcl50SpryCu</t>
        </is>
      </c>
      <c r="O41" s="25" t="inlineStr">
        <is>
          <t>https://www.bestbottles.com/product/circle-design-50-ml-glass-bottle-matte-silver-spray-pump-and-cap</t>
        </is>
      </c>
      <c r="P41" s="23" t="inlineStr">
        <is>
          <t>No</t>
        </is>
      </c>
      <c r="Q41" s="24" t="n"/>
      <c r="R41" s="24" t="n">
        <v>6</v>
      </c>
      <c r="S41" s="24" t="n">
        <v>2.6</v>
      </c>
      <c r="T41" s="24" t="n">
        <v>2.6</v>
      </c>
      <c r="U41" s="24" t="n"/>
      <c r="V41" s="24" t="n"/>
      <c r="W41" s="24" t="n"/>
      <c r="X41" s="24" t="n"/>
    </row>
    <row r="42" ht="15" customHeight="1" s="19">
      <c r="A42" s="21" t="n">
        <v>41</v>
      </c>
      <c r="B42" s="21" t="inlineStr">
        <is>
          <t>Circle</t>
        </is>
      </c>
      <c r="C42" s="21" t="n">
        <v>50</v>
      </c>
      <c r="D42" s="21" t="inlineStr">
        <is>
          <t>Clear</t>
        </is>
      </c>
      <c r="E42" s="21" t="inlineStr">
        <is>
          <t>Reducer</t>
        </is>
      </c>
      <c r="F42" s="21" t="inlineStr">
        <is>
          <t>18-415</t>
        </is>
      </c>
      <c r="G42" s="21" t="inlineStr">
        <is>
          <t>50 ml Clear Circle Reducer Bottle</t>
        </is>
      </c>
      <c r="H42" s="21" t="inlineStr">
        <is>
          <t>Glass Bottle</t>
        </is>
      </c>
      <c r="I42" s="21" t="inlineStr">
        <is>
          <t>Circle</t>
        </is>
      </c>
      <c r="J42" s="21" t="inlineStr">
        <is>
          <t>circle-50ml-clear-18-415-reducer</t>
        </is>
      </c>
      <c r="K42" s="21" t="inlineStr">
        <is>
          <t>kh73rpr9my9dy8n9jdjrq1bbyn83jqm0</t>
        </is>
      </c>
      <c r="L42" s="21" t="inlineStr">
        <is>
          <t>GB-CIR-CLR-50ML-RDC-BKLT</t>
        </is>
      </c>
      <c r="M42" s="21" t="inlineStr">
        <is>
          <t>GBCrcl50RdcrBlkLthr</t>
        </is>
      </c>
      <c r="N42" s="21" t="inlineStr">
        <is>
          <t>GBCrcl50RdcrBlkLthr</t>
        </is>
      </c>
      <c r="O42" s="22" t="inlineStr">
        <is>
          <t>https://www.bestbottles.com/product/circle-design-50-ml-glass-bottle-reducer-black-faux-leather-cap</t>
        </is>
      </c>
      <c r="P42" s="23" t="inlineStr">
        <is>
          <t>No</t>
        </is>
      </c>
      <c r="Q42" s="21" t="n"/>
      <c r="R42" s="21" t="n">
        <v>12</v>
      </c>
      <c r="S42" s="21" t="n">
        <v>1.57</v>
      </c>
      <c r="T42" s="21" t="n">
        <v>1.85</v>
      </c>
      <c r="U42" s="21" t="n"/>
      <c r="V42" s="21" t="n"/>
      <c r="W42" s="21" t="n"/>
      <c r="X42" s="21" t="n"/>
    </row>
    <row r="43" ht="15" customHeight="1" s="19">
      <c r="A43" s="24" t="n">
        <v>42</v>
      </c>
      <c r="B43" s="24" t="inlineStr">
        <is>
          <t>Circle</t>
        </is>
      </c>
      <c r="C43" s="24" t="n">
        <v>50</v>
      </c>
      <c r="D43" s="24" t="inlineStr">
        <is>
          <t>Clear</t>
        </is>
      </c>
      <c r="E43" s="24" t="inlineStr">
        <is>
          <t>Vintage Bulb Sprayer</t>
        </is>
      </c>
      <c r="F43" s="24" t="inlineStr">
        <is>
          <t>18-415</t>
        </is>
      </c>
      <c r="G43" s="24" t="inlineStr">
        <is>
          <t>50 ml Clear Circle Vintage Bulb Spray Bottle</t>
        </is>
      </c>
      <c r="H43" s="24" t="inlineStr">
        <is>
          <t>Glass Bottle</t>
        </is>
      </c>
      <c r="I43" s="24" t="inlineStr">
        <is>
          <t>Circle</t>
        </is>
      </c>
      <c r="J43" s="24" t="inlineStr">
        <is>
          <t>circle-50ml-clear-18-415-antiquespray</t>
        </is>
      </c>
      <c r="K43" s="24" t="inlineStr">
        <is>
          <t>kh7e58z20zqh04nzyeg5vqgn1h83k856</t>
        </is>
      </c>
      <c r="L43" s="24" t="inlineStr">
        <is>
          <t>GB-CIR-CLR-50ML-ASP-BLK</t>
        </is>
      </c>
      <c r="M43" s="24" t="inlineStr">
        <is>
          <t>GBCrcl50AnSpBlk</t>
        </is>
      </c>
      <c r="N43" s="24" t="inlineStr">
        <is>
          <t>GBCrcl50AnSpBlk</t>
        </is>
      </c>
      <c r="O43" s="25" t="inlineStr">
        <is>
          <t>https://www.bestbottles.com/product/circle-design-50-ml-glass-bottle-black-vintage-style-bulb-sprayer-shiny-silver-collar-cap</t>
        </is>
      </c>
      <c r="P43" s="23" t="inlineStr">
        <is>
          <t>No</t>
        </is>
      </c>
      <c r="Q43" s="24" t="n"/>
      <c r="R43" s="24" t="n">
        <v>11</v>
      </c>
      <c r="S43" s="24" t="n">
        <v>5.45</v>
      </c>
      <c r="T43" s="24" t="n">
        <v>6.2</v>
      </c>
      <c r="U43" s="24" t="n"/>
      <c r="V43" s="24" t="n"/>
      <c r="W43" s="24" t="n"/>
      <c r="X43" s="24" t="n"/>
    </row>
    <row r="44" ht="15" customHeight="1" s="19">
      <c r="A44" s="21" t="n">
        <v>43</v>
      </c>
      <c r="B44" s="21" t="inlineStr">
        <is>
          <t>Circle</t>
        </is>
      </c>
      <c r="C44" s="21" t="n">
        <v>50</v>
      </c>
      <c r="D44" s="21" t="inlineStr">
        <is>
          <t>Clear</t>
        </is>
      </c>
      <c r="E44" s="21" t="inlineStr">
        <is>
          <t>Vintage Bulb Sprayer with Tassel</t>
        </is>
      </c>
      <c r="F44" s="21" t="inlineStr">
        <is>
          <t>18-415</t>
        </is>
      </c>
      <c r="G44" s="21" t="inlineStr">
        <is>
          <t>50 ml Clear Circle Vintage Bulb Spray Bottle with Tassel</t>
        </is>
      </c>
      <c r="H44" s="21" t="inlineStr">
        <is>
          <t>Glass Bottle</t>
        </is>
      </c>
      <c r="I44" s="21" t="inlineStr">
        <is>
          <t>Circle</t>
        </is>
      </c>
      <c r="J44" s="21" t="inlineStr">
        <is>
          <t>circle-50ml-clear-18-415-antiquespray-tassel</t>
        </is>
      </c>
      <c r="K44" s="21" t="inlineStr">
        <is>
          <t>kh7ccreytn0fwn4834v1a1yam183jf78</t>
        </is>
      </c>
      <c r="L44" s="21" t="inlineStr">
        <is>
          <t>GB-CIR-CLR-50ML-AST-BLK</t>
        </is>
      </c>
      <c r="M44" s="21" t="inlineStr">
        <is>
          <t>GBCrcl50AnSpTslBlk</t>
        </is>
      </c>
      <c r="N44" s="21" t="inlineStr">
        <is>
          <t>GBCrcl50AnSpTslBlk</t>
        </is>
      </c>
      <c r="O44" s="22" t="inlineStr">
        <is>
          <t>https://www.bestbottles.com/product/circle-design-50-ml-glass-bottle-black-vintage-style-sprayer-with-tassel-shiny-silver-collar</t>
        </is>
      </c>
      <c r="P44" s="23" t="inlineStr">
        <is>
          <t>No</t>
        </is>
      </c>
      <c r="Q44" s="21" t="n"/>
      <c r="R44" s="21" t="n">
        <v>7</v>
      </c>
      <c r="S44" s="21" t="n">
        <v>6.2</v>
      </c>
      <c r="T44" s="21" t="n">
        <v>6.2</v>
      </c>
      <c r="U44" s="21" t="n"/>
      <c r="V44" s="21" t="n"/>
      <c r="W44" s="21" t="n"/>
      <c r="X44" s="21" t="n"/>
    </row>
    <row r="45" ht="15" customHeight="1" s="19">
      <c r="A45" s="24" t="n">
        <v>44</v>
      </c>
      <c r="B45" s="24" t="inlineStr">
        <is>
          <t>Circle</t>
        </is>
      </c>
      <c r="C45" s="24" t="n">
        <v>50</v>
      </c>
      <c r="D45" s="24" t="inlineStr">
        <is>
          <t>Frosted</t>
        </is>
      </c>
      <c r="E45" s="24" t="inlineStr">
        <is>
          <t>Dropper</t>
        </is>
      </c>
      <c r="F45" s="24" t="inlineStr">
        <is>
          <t>18-415</t>
        </is>
      </c>
      <c r="G45" s="24" t="inlineStr">
        <is>
          <t>50 ml Frosted Circle Dropper Bottle</t>
        </is>
      </c>
      <c r="H45" s="24" t="inlineStr">
        <is>
          <t>Glass Bottle</t>
        </is>
      </c>
      <c r="I45" s="24" t="inlineStr">
        <is>
          <t>Circle</t>
        </is>
      </c>
      <c r="J45" s="24" t="inlineStr">
        <is>
          <t>circle-50ml-frosted-18-415-dropper</t>
        </is>
      </c>
      <c r="K45" s="24" t="inlineStr">
        <is>
          <t>kh7f30s1151he5tf8nvpe7pnqh83k8xy</t>
        </is>
      </c>
      <c r="L45" s="24" t="inlineStr">
        <is>
          <t>GB-CIR-FRS-50ML-DRP-SLV</t>
        </is>
      </c>
      <c r="M45" s="24" t="inlineStr">
        <is>
          <t>GBCrclFrst50DrpSl</t>
        </is>
      </c>
      <c r="N45" s="24" t="inlineStr">
        <is>
          <t>GBCrclFrst50DrpSl, GBCrclFrst50DrpGl</t>
        </is>
      </c>
      <c r="O45" s="25" t="inlineStr">
        <is>
          <t>https://www.bestbottles.com/product/circle-design-50-ml-frosted-glass-bottle-white-dropper-shiny-silver-collar-cap</t>
        </is>
      </c>
      <c r="P45" s="23" t="inlineStr">
        <is>
          <t>No</t>
        </is>
      </c>
      <c r="Q45" s="24" t="n"/>
      <c r="R45" s="24" t="n">
        <v>3</v>
      </c>
      <c r="S45" s="24" t="n">
        <v>2.25</v>
      </c>
      <c r="T45" s="24" t="n">
        <v>2.25</v>
      </c>
      <c r="U45" s="24" t="n"/>
      <c r="V45" s="24" t="n"/>
      <c r="W45" s="24" t="n"/>
      <c r="X45" s="24" t="n"/>
    </row>
    <row r="46" ht="15" customHeight="1" s="19">
      <c r="A46" s="21" t="n">
        <v>45</v>
      </c>
      <c r="B46" s="21" t="inlineStr">
        <is>
          <t>Circle</t>
        </is>
      </c>
      <c r="C46" s="21" t="n">
        <v>50</v>
      </c>
      <c r="D46" s="21" t="inlineStr">
        <is>
          <t>Frosted</t>
        </is>
      </c>
      <c r="E46" s="21" t="inlineStr">
        <is>
          <t>Lotion Pump</t>
        </is>
      </c>
      <c r="F46" s="21" t="inlineStr">
        <is>
          <t>18-415</t>
        </is>
      </c>
      <c r="G46" s="21" t="inlineStr">
        <is>
          <t>50 ml Frosted Circle Lotion Pump Bottle</t>
        </is>
      </c>
      <c r="H46" s="21" t="inlineStr">
        <is>
          <t>Glass Bottle</t>
        </is>
      </c>
      <c r="I46" s="21" t="inlineStr">
        <is>
          <t>Circle</t>
        </is>
      </c>
      <c r="J46" s="21" t="inlineStr">
        <is>
          <t>circle-50ml-frosted-18-415-lotionpump</t>
        </is>
      </c>
      <c r="K46" s="21" t="inlineStr">
        <is>
          <t>kh7a7qvky9zv9sty0yem2w3sv183jy3x</t>
        </is>
      </c>
      <c r="L46" s="21" t="n"/>
      <c r="M46" s="21" t="n"/>
      <c r="N46" s="21" t="n"/>
      <c r="O46" s="21" t="n"/>
      <c r="P46" s="23" t="inlineStr">
        <is>
          <t>No</t>
        </is>
      </c>
      <c r="Q46" s="21" t="n"/>
      <c r="R46" s="21" t="n">
        <v>7</v>
      </c>
      <c r="S46" s="21" t="n">
        <v>2.8</v>
      </c>
      <c r="T46" s="21" t="n">
        <v>2.8</v>
      </c>
      <c r="U46" s="21" t="n"/>
      <c r="V46" s="21" t="n"/>
      <c r="W46" s="21" t="n"/>
      <c r="X46" s="21" t="n"/>
    </row>
    <row r="47" ht="15" customHeight="1" s="19">
      <c r="A47" s="24" t="n">
        <v>46</v>
      </c>
      <c r="B47" s="24" t="inlineStr">
        <is>
          <t>Circle</t>
        </is>
      </c>
      <c r="C47" s="24" t="n">
        <v>50</v>
      </c>
      <c r="D47" s="24" t="inlineStr">
        <is>
          <t>Frosted</t>
        </is>
      </c>
      <c r="E47" s="24" t="inlineStr">
        <is>
          <t>Perfume Spray Pump</t>
        </is>
      </c>
      <c r="F47" s="24" t="inlineStr">
        <is>
          <t>18-415</t>
        </is>
      </c>
      <c r="G47" s="24" t="inlineStr">
        <is>
          <t>50 ml Frosted Circle Bottle</t>
        </is>
      </c>
      <c r="H47" s="24" t="inlineStr">
        <is>
          <t>Glass Bottle</t>
        </is>
      </c>
      <c r="I47" s="24" t="inlineStr">
        <is>
          <t>Circle</t>
        </is>
      </c>
      <c r="J47" s="24" t="inlineStr">
        <is>
          <t>circle-50ml-frosted-18-415-perfumespray</t>
        </is>
      </c>
      <c r="K47" s="24" t="inlineStr">
        <is>
          <t>kh78rxvfekx40khg7xwrd8c6fn83kwr1</t>
        </is>
      </c>
      <c r="L47" s="24" t="inlineStr">
        <is>
          <t>GB-CIR-FRS-50ML-SPR-MGLD</t>
        </is>
      </c>
      <c r="M47" s="24" t="inlineStr">
        <is>
          <t>GBCrclFrst50SpryMtGl</t>
        </is>
      </c>
      <c r="N47" s="24" t="inlineStr">
        <is>
          <t>GBCrclFrst50SpryMtGl, GBCrclFrst50SpryShnGl, GBCrclFrst50SpryShnBlk, GBCrclFrst50SpryMtSl, GBCrclFrst50SpryShnSl, GBCrclFrst50SpryCu</t>
        </is>
      </c>
      <c r="O47" s="25" t="inlineStr">
        <is>
          <t>https://www.bestbottles.com/product/circle-design-50-ml-frosted-glass-bottle-matte-gold-spray-pump-and-cap</t>
        </is>
      </c>
      <c r="P47" s="23" t="inlineStr">
        <is>
          <t>No</t>
        </is>
      </c>
      <c r="Q47" s="24" t="n"/>
      <c r="R47" s="24" t="n">
        <v>6</v>
      </c>
      <c r="S47" s="24" t="n">
        <v>3.1</v>
      </c>
      <c r="T47" s="24" t="n">
        <v>3.1</v>
      </c>
      <c r="U47" s="24" t="n"/>
      <c r="V47" s="24" t="n"/>
      <c r="W47" s="24" t="n"/>
      <c r="X47" s="24" t="n"/>
    </row>
    <row r="48" ht="15" customHeight="1" s="19">
      <c r="A48" s="21" t="n">
        <v>47</v>
      </c>
      <c r="B48" s="21" t="inlineStr">
        <is>
          <t>Circle</t>
        </is>
      </c>
      <c r="C48" s="21" t="n">
        <v>50</v>
      </c>
      <c r="D48" s="21" t="inlineStr">
        <is>
          <t>Frosted</t>
        </is>
      </c>
      <c r="E48" s="21" t="inlineStr">
        <is>
          <t>Reducer</t>
        </is>
      </c>
      <c r="F48" s="21" t="inlineStr">
        <is>
          <t>18-415</t>
        </is>
      </c>
      <c r="G48" s="21" t="inlineStr">
        <is>
          <t>50 ml Frosted Circle Reducer Bottle</t>
        </is>
      </c>
      <c r="H48" s="21" t="inlineStr">
        <is>
          <t>Glass Bottle</t>
        </is>
      </c>
      <c r="I48" s="21" t="inlineStr">
        <is>
          <t>Circle</t>
        </is>
      </c>
      <c r="J48" s="21" t="inlineStr">
        <is>
          <t>circle-50ml-frosted-18-415-reducer</t>
        </is>
      </c>
      <c r="K48" s="21" t="inlineStr">
        <is>
          <t>kh71ne6jw1sxasb5gr2277svy983k0j8</t>
        </is>
      </c>
      <c r="L48" s="21" t="inlineStr">
        <is>
          <t>GB-CIR-FRS-50ML-RDC-BLK</t>
        </is>
      </c>
      <c r="M48" s="21" t="inlineStr">
        <is>
          <t>GBCrclFrst50RdcrBlkLthr</t>
        </is>
      </c>
      <c r="N48" s="21" t="inlineStr">
        <is>
          <t>GBCrclFrst50RdcrBlkLthr</t>
        </is>
      </c>
      <c r="O48" s="22" t="inlineStr">
        <is>
          <t>https://www.bestbottles.com/product/circle-design-50-ml-frosted-glass-bottle-reducer-black-faux-leather-cap</t>
        </is>
      </c>
      <c r="P48" s="23" t="inlineStr">
        <is>
          <t>No</t>
        </is>
      </c>
      <c r="Q48" s="21" t="n"/>
      <c r="R48" s="21" t="n">
        <v>10</v>
      </c>
      <c r="S48" s="21" t="n">
        <v>2.07</v>
      </c>
      <c r="T48" s="21" t="n">
        <v>2.35</v>
      </c>
      <c r="U48" s="21" t="n"/>
      <c r="V48" s="21" t="n"/>
      <c r="W48" s="21" t="n"/>
      <c r="X48" s="21" t="n"/>
    </row>
    <row r="49" ht="15" customHeight="1" s="19">
      <c r="A49" s="24" t="n">
        <v>48</v>
      </c>
      <c r="B49" s="24" t="inlineStr">
        <is>
          <t>Circle</t>
        </is>
      </c>
      <c r="C49" s="24" t="n">
        <v>50</v>
      </c>
      <c r="D49" s="24" t="inlineStr">
        <is>
          <t>Frosted</t>
        </is>
      </c>
      <c r="E49" s="24" t="inlineStr">
        <is>
          <t>Reducer</t>
        </is>
      </c>
      <c r="F49" s="24" t="inlineStr">
        <is>
          <t>18-400</t>
        </is>
      </c>
      <c r="G49" s="24" t="inlineStr">
        <is>
          <t>50 ml Frosted Circle Reducer Bottle</t>
        </is>
      </c>
      <c r="H49" s="24" t="inlineStr">
        <is>
          <t>Glass Bottle</t>
        </is>
      </c>
      <c r="I49" s="24" t="inlineStr">
        <is>
          <t>Circle</t>
        </is>
      </c>
      <c r="J49" s="24" t="inlineStr">
        <is>
          <t>circle-50ml-frosted-18-400-reducer</t>
        </is>
      </c>
      <c r="K49" s="24" t="inlineStr">
        <is>
          <t>kh70dqw72et5h5gzqck2xrtjqs83kdev</t>
        </is>
      </c>
      <c r="L49" s="24" t="n"/>
      <c r="M49" s="24" t="n"/>
      <c r="N49" s="24" t="n"/>
      <c r="O49" s="24" t="n"/>
      <c r="P49" s="23" t="inlineStr">
        <is>
          <t>No</t>
        </is>
      </c>
      <c r="Q49" s="24" t="n"/>
      <c r="R49" s="24" t="n">
        <v>1</v>
      </c>
      <c r="S49" s="24" t="n">
        <v>2.35</v>
      </c>
      <c r="T49" s="24" t="n">
        <v>2.35</v>
      </c>
      <c r="U49" s="24" t="n"/>
      <c r="V49" s="24" t="n"/>
      <c r="W49" s="24" t="n"/>
      <c r="X49" s="24" t="n"/>
    </row>
    <row r="50" ht="15" customHeight="1" s="19">
      <c r="A50" s="21" t="n">
        <v>49</v>
      </c>
      <c r="B50" s="21" t="inlineStr">
        <is>
          <t>Circle</t>
        </is>
      </c>
      <c r="C50" s="21" t="n">
        <v>50</v>
      </c>
      <c r="D50" s="21" t="inlineStr">
        <is>
          <t>Frosted</t>
        </is>
      </c>
      <c r="E50" s="21" t="inlineStr">
        <is>
          <t>Vintage Bulb Sprayer</t>
        </is>
      </c>
      <c r="F50" s="21" t="inlineStr">
        <is>
          <t>18-415</t>
        </is>
      </c>
      <c r="G50" s="21" t="inlineStr">
        <is>
          <t>50 ml Frosted Circle Vintage Bulb Spray Bottle</t>
        </is>
      </c>
      <c r="H50" s="21" t="inlineStr">
        <is>
          <t>Glass Bottle</t>
        </is>
      </c>
      <c r="I50" s="21" t="inlineStr">
        <is>
          <t>Circle</t>
        </is>
      </c>
      <c r="J50" s="21" t="inlineStr">
        <is>
          <t>circle-50ml-frosted-18-415-antiquespray</t>
        </is>
      </c>
      <c r="K50" s="21" t="inlineStr">
        <is>
          <t>kh77rve0mpcjnh2brq04662ewd83k94v</t>
        </is>
      </c>
      <c r="L50" s="21" t="inlineStr">
        <is>
          <t>GB-CIR-FRS-50ML-ASP-BLK</t>
        </is>
      </c>
      <c r="M50" s="21" t="inlineStr">
        <is>
          <t>GBCrclFrst50AnSpBlk</t>
        </is>
      </c>
      <c r="N50" s="21" t="inlineStr">
        <is>
          <t>GBCrclFrst50AnSpBlk, GBCrclFrst50AnSpTslBlk</t>
        </is>
      </c>
      <c r="O50" s="22" t="inlineStr">
        <is>
          <t>https://www.bestbottles.com/product/circle-design-50-ml-frosted-glass-bottle-black-vintage-style-bulb-sprayer-shiny-silver-collar-cap</t>
        </is>
      </c>
      <c r="P50" s="23" t="inlineStr">
        <is>
          <t>No</t>
        </is>
      </c>
      <c r="Q50" s="21" t="n"/>
      <c r="R50" s="21" t="n">
        <v>18</v>
      </c>
      <c r="S50" s="21" t="n">
        <v>5.95</v>
      </c>
      <c r="T50" s="21" t="n">
        <v>6.7</v>
      </c>
      <c r="U50" s="21" t="n"/>
      <c r="V50" s="21" t="n"/>
      <c r="W50" s="21" t="n"/>
      <c r="X50" s="21" t="n"/>
    </row>
    <row r="51" ht="15" customHeight="1" s="19">
      <c r="A51" s="24" t="n">
        <v>50</v>
      </c>
      <c r="B51" s="24" t="inlineStr">
        <is>
          <t>Circle</t>
        </is>
      </c>
      <c r="C51" s="24" t="n">
        <v>100</v>
      </c>
      <c r="D51" s="24" t="inlineStr">
        <is>
          <t>Clear</t>
        </is>
      </c>
      <c r="E51" s="24" t="inlineStr">
        <is>
          <t>Lotion Pump</t>
        </is>
      </c>
      <c r="F51" s="24" t="inlineStr">
        <is>
          <t>18-415</t>
        </is>
      </c>
      <c r="G51" s="24" t="inlineStr">
        <is>
          <t>100 ml Clear Circle Lotion Pump Bottle</t>
        </is>
      </c>
      <c r="H51" s="24" t="inlineStr">
        <is>
          <t>Glass Bottle</t>
        </is>
      </c>
      <c r="I51" s="24" t="inlineStr">
        <is>
          <t>Circle</t>
        </is>
      </c>
      <c r="J51" s="24" t="inlineStr">
        <is>
          <t>circle-100ml-clear-18-415-lotionpump</t>
        </is>
      </c>
      <c r="K51" s="24" t="inlineStr">
        <is>
          <t>kh77b97zrmx6rxnzp32j65rr3983j333</t>
        </is>
      </c>
      <c r="L51" s="24" t="inlineStr">
        <is>
          <t>LB-CIR-CLR-100ML-LPM-COCP</t>
        </is>
      </c>
      <c r="M51" s="24" t="inlineStr">
        <is>
          <t>LBCrcl100LtnClOvrCap</t>
        </is>
      </c>
      <c r="N51" s="24" t="inlineStr">
        <is>
          <t>LBCrcl100LtnClOvrCap</t>
        </is>
      </c>
      <c r="O51" s="25" t="inlineStr">
        <is>
          <t>https://www.bestbottles.com/product/circle-design-100-ml-glass-bottle-clear-over-the-cap-lotion-pump-matte-silver-collar-cap</t>
        </is>
      </c>
      <c r="P51" s="23" t="inlineStr">
        <is>
          <t>No</t>
        </is>
      </c>
      <c r="Q51" s="24" t="n"/>
      <c r="R51" s="24" t="n">
        <v>7</v>
      </c>
      <c r="S51" s="24" t="n">
        <v>3.05</v>
      </c>
      <c r="T51" s="24" t="n">
        <v>3.05</v>
      </c>
      <c r="U51" s="24" t="n"/>
      <c r="V51" s="24" t="n"/>
      <c r="W51" s="24" t="n"/>
      <c r="X51" s="24" t="n"/>
    </row>
    <row r="52" ht="15" customHeight="1" s="19">
      <c r="A52" s="21" t="n">
        <v>51</v>
      </c>
      <c r="B52" s="21" t="inlineStr">
        <is>
          <t>Circle</t>
        </is>
      </c>
      <c r="C52" s="21" t="n">
        <v>100</v>
      </c>
      <c r="D52" s="21" t="inlineStr">
        <is>
          <t>Clear</t>
        </is>
      </c>
      <c r="E52" s="21" t="inlineStr">
        <is>
          <t>Perfume Spray Pump</t>
        </is>
      </c>
      <c r="F52" s="21" t="inlineStr">
        <is>
          <t>18-415</t>
        </is>
      </c>
      <c r="G52" s="21" t="inlineStr">
        <is>
          <t>100 ml Clear Circle Bottle</t>
        </is>
      </c>
      <c r="H52" s="21" t="inlineStr">
        <is>
          <t>Glass Bottle</t>
        </is>
      </c>
      <c r="I52" s="21" t="inlineStr">
        <is>
          <t>Circle</t>
        </is>
      </c>
      <c r="J52" s="21" t="inlineStr">
        <is>
          <t>circle-100ml-clear-18-415-perfumespray</t>
        </is>
      </c>
      <c r="K52" s="21" t="inlineStr">
        <is>
          <t>kh792dysy50xqhkcpamhfby00x83jews</t>
        </is>
      </c>
      <c r="L52" s="21" t="inlineStr">
        <is>
          <t>GB-CIR-CLR-100ML-SPR-CPR</t>
        </is>
      </c>
      <c r="M52" s="21" t="inlineStr">
        <is>
          <t>GBCrcl100SpryCu</t>
        </is>
      </c>
      <c r="N52" s="21" t="inlineStr">
        <is>
          <t>GBCrcl100SpryCu, GBCrcl100SpryMtGl, GBCrcl100SpryShnGl, GBCrcl100SpryShnBlk, GBCrcl100SpryMtSl, GBCrcl100SpryShnSl</t>
        </is>
      </c>
      <c r="O52" s="22" t="inlineStr">
        <is>
          <t>https://www.bestbottles.com/product/circle-design-100-ml-glass-bottle-matte-copper-spray-and-cap</t>
        </is>
      </c>
      <c r="P52" s="23" t="inlineStr">
        <is>
          <t>No</t>
        </is>
      </c>
      <c r="Q52" s="21" t="n"/>
      <c r="R52" s="21" t="n">
        <v>6</v>
      </c>
      <c r="S52" s="21" t="n">
        <v>3.05</v>
      </c>
      <c r="T52" s="21" t="n">
        <v>3.05</v>
      </c>
      <c r="U52" s="21" t="n"/>
      <c r="V52" s="21" t="n"/>
      <c r="W52" s="21" t="n"/>
      <c r="X52" s="21" t="n"/>
    </row>
    <row r="53" ht="15" customHeight="1" s="19">
      <c r="A53" s="24" t="n">
        <v>52</v>
      </c>
      <c r="B53" s="24" t="inlineStr">
        <is>
          <t>Circle</t>
        </is>
      </c>
      <c r="C53" s="24" t="n">
        <v>100</v>
      </c>
      <c r="D53" s="24" t="inlineStr">
        <is>
          <t>Clear</t>
        </is>
      </c>
      <c r="E53" s="24" t="inlineStr">
        <is>
          <t>Reducer</t>
        </is>
      </c>
      <c r="F53" s="24" t="inlineStr">
        <is>
          <t>18-415</t>
        </is>
      </c>
      <c r="G53" s="24" t="inlineStr">
        <is>
          <t>100 ml Clear Circle Reducer Bottle</t>
        </is>
      </c>
      <c r="H53" s="24" t="inlineStr">
        <is>
          <t>Glass Bottle</t>
        </is>
      </c>
      <c r="I53" s="24" t="inlineStr">
        <is>
          <t>Circle</t>
        </is>
      </c>
      <c r="J53" s="24" t="inlineStr">
        <is>
          <t>circle-100ml-clear-18-415-reducer</t>
        </is>
      </c>
      <c r="K53" s="24" t="inlineStr">
        <is>
          <t>kh741zv7sp0q3nry2g2gm6se7183jw9w</t>
        </is>
      </c>
      <c r="L53" s="24" t="inlineStr">
        <is>
          <t>GB-CIR-CLR-100ML-RDC-PNK</t>
        </is>
      </c>
      <c r="M53" s="24" t="inlineStr">
        <is>
          <t>GBCrcl100RdcrPnkLthr</t>
        </is>
      </c>
      <c r="N53" s="24" t="inlineStr">
        <is>
          <t>GBCrcl100RdcrPnkLthr, GBCrcl100RdcrShnGl, GBCrcl100RdcrShnBlkTall, GBCrcl100RdcrShnBlk, GBCrcl100RdcrBrwnLthr, GBCrcl100RdcrLBrwnLthr, GBCrcl100RdcrShnSl, GBCrcl100RdcrMtSlTall, GBCrcl100RdcrMtSl, GBCrcl100RdcrWht, GBCrcl100RdcrIvyLthr, GBCrcl100RdcrBlkLthr</t>
        </is>
      </c>
      <c r="O53" s="25" t="inlineStr">
        <is>
          <t>https://www.bestbottles.com/product/circle-design-100-ml-glass-bottle-reducer-pink-faux-leather-cap</t>
        </is>
      </c>
      <c r="P53" s="23" t="inlineStr">
        <is>
          <t>No</t>
        </is>
      </c>
      <c r="Q53" s="24" t="n"/>
      <c r="R53" s="24" t="n">
        <v>12</v>
      </c>
      <c r="S53" s="24" t="n">
        <v>2.02</v>
      </c>
      <c r="T53" s="24" t="n">
        <v>2.3</v>
      </c>
      <c r="U53" s="24" t="n"/>
      <c r="V53" s="24" t="n"/>
      <c r="W53" s="24" t="n"/>
      <c r="X53" s="24" t="n"/>
    </row>
    <row r="54" ht="15" customHeight="1" s="19">
      <c r="A54" s="21" t="n">
        <v>53</v>
      </c>
      <c r="B54" s="21" t="inlineStr">
        <is>
          <t>Circle</t>
        </is>
      </c>
      <c r="C54" s="21" t="n">
        <v>100</v>
      </c>
      <c r="D54" s="21" t="inlineStr">
        <is>
          <t>Clear</t>
        </is>
      </c>
      <c r="E54" s="21" t="inlineStr">
        <is>
          <t>Vintage Bulb Sprayer</t>
        </is>
      </c>
      <c r="F54" s="21" t="inlineStr">
        <is>
          <t>18-415</t>
        </is>
      </c>
      <c r="G54" s="21" t="inlineStr">
        <is>
          <t>100 ml Clear Circle Vintage Bulb Spray Bottle</t>
        </is>
      </c>
      <c r="H54" s="21" t="inlineStr">
        <is>
          <t>Glass Bottle</t>
        </is>
      </c>
      <c r="I54" s="21" t="inlineStr">
        <is>
          <t>Circle</t>
        </is>
      </c>
      <c r="J54" s="21" t="inlineStr">
        <is>
          <t>circle-100ml-clear-18-415-antiquespray</t>
        </is>
      </c>
      <c r="K54" s="21" t="inlineStr">
        <is>
          <t>kh71fgjfw691ww96ky23bs4w6d83kknx</t>
        </is>
      </c>
      <c r="L54" s="21" t="inlineStr">
        <is>
          <t>GB-CIR-CLR-100ML-ASP-BLK</t>
        </is>
      </c>
      <c r="M54" s="21" t="inlineStr">
        <is>
          <t>GBCrcl100AnSpBlk</t>
        </is>
      </c>
      <c r="N54" s="21" t="inlineStr">
        <is>
          <t>GBCrcl100AnSpBlk, GBCrcl100AnSpGl, GBCrcl100AnSpLvn, GBCrcl100AnSpIvySl, GBCrcl100AnSpRed, GBCrcl100AnSpMtSl, GBCrcl100AnSpIvyGl, GBCrcl100AnSpWht, GBCrcl100AnSpPnk</t>
        </is>
      </c>
      <c r="O54" s="22" t="inlineStr">
        <is>
          <t>https://www.bestbottles.com/product/circle-design-100-ml-glass-bottle-black-vintage-style-bulb-sprayer-shiny-silver-collar-cap</t>
        </is>
      </c>
      <c r="P54" s="23" t="inlineStr">
        <is>
          <t>No</t>
        </is>
      </c>
      <c r="Q54" s="21" t="n"/>
      <c r="R54" s="21" t="n">
        <v>9</v>
      </c>
      <c r="S54" s="21" t="n">
        <v>5.9</v>
      </c>
      <c r="T54" s="21" t="n">
        <v>5.9</v>
      </c>
      <c r="U54" s="21" t="n"/>
      <c r="V54" s="21" t="n"/>
      <c r="W54" s="21" t="n"/>
      <c r="X54" s="21" t="n"/>
    </row>
    <row r="55" ht="15" customHeight="1" s="19">
      <c r="A55" s="24" t="n">
        <v>54</v>
      </c>
      <c r="B55" s="24" t="inlineStr">
        <is>
          <t>Circle</t>
        </is>
      </c>
      <c r="C55" s="24" t="n">
        <v>100</v>
      </c>
      <c r="D55" s="24" t="inlineStr">
        <is>
          <t>Clear</t>
        </is>
      </c>
      <c r="E55" s="24" t="inlineStr">
        <is>
          <t>Vintage Bulb Sprayer with Tassel</t>
        </is>
      </c>
      <c r="F55" s="24" t="inlineStr">
        <is>
          <t>18-415</t>
        </is>
      </c>
      <c r="G55" s="24" t="inlineStr">
        <is>
          <t>100 ml Clear Circle Vintage Bulb Spray Bottle with Tassel</t>
        </is>
      </c>
      <c r="H55" s="24" t="inlineStr">
        <is>
          <t>Glass Bottle</t>
        </is>
      </c>
      <c r="I55" s="24" t="inlineStr">
        <is>
          <t>Circle</t>
        </is>
      </c>
      <c r="J55" s="24" t="inlineStr">
        <is>
          <t>circle-100ml-clear-18-415-antiquespray-tassel</t>
        </is>
      </c>
      <c r="K55" s="24" t="inlineStr">
        <is>
          <t>kh7axaf9cp8xw1ytdm9xg85sp183jjbw</t>
        </is>
      </c>
      <c r="L55" s="24" t="inlineStr">
        <is>
          <t>GB-CIR-CLR-100ML-AST-BLK</t>
        </is>
      </c>
      <c r="M55" s="24" t="inlineStr">
        <is>
          <t>GBCrcl100AnSpTslBlk</t>
        </is>
      </c>
      <c r="N55" s="24" t="inlineStr">
        <is>
          <t>GBCrcl100AnSpTslBlk, GBCrcl100AnSpTslGl, GBCrcl100AnSpTslIvyGl, GBCrcl100AnSpTslLvn, GBCrcl100AnSpTslPnk, GBCrcl100AnSpTslIvySl, GBCrcl100AnSpTslRed, GBCrcl100AnSpTslWht, GBCrcl100AnSpTslMtSl</t>
        </is>
      </c>
      <c r="O55" s="25" t="inlineStr">
        <is>
          <t>https://www.bestbottles.com/product/circle-design-100-ml-glass-bottle-black-vintage-style-sprayer-with-tassel-shiny-silver-collar</t>
        </is>
      </c>
      <c r="P55" s="23" t="inlineStr">
        <is>
          <t>No</t>
        </is>
      </c>
      <c r="Q55" s="24" t="n"/>
      <c r="R55" s="24" t="n">
        <v>9</v>
      </c>
      <c r="S55" s="24" t="n">
        <v>6.65</v>
      </c>
      <c r="T55" s="24" t="n">
        <v>6.65</v>
      </c>
      <c r="U55" s="24" t="n"/>
      <c r="V55" s="24" t="n"/>
      <c r="W55" s="24" t="n"/>
      <c r="X55" s="24" t="n"/>
    </row>
    <row r="56" ht="15" customHeight="1" s="19">
      <c r="A56" s="21" t="n">
        <v>55</v>
      </c>
      <c r="B56" s="21" t="inlineStr">
        <is>
          <t>Circle</t>
        </is>
      </c>
      <c r="C56" s="21" t="n">
        <v>100</v>
      </c>
      <c r="D56" s="21" t="inlineStr">
        <is>
          <t>Frosted</t>
        </is>
      </c>
      <c r="E56" s="21" t="inlineStr">
        <is>
          <t>Lotion Pump</t>
        </is>
      </c>
      <c r="F56" s="21" t="inlineStr">
        <is>
          <t>18-415</t>
        </is>
      </c>
      <c r="G56" s="21" t="inlineStr">
        <is>
          <t>100 ml Frosted Circle Lotion Pump Bottle</t>
        </is>
      </c>
      <c r="H56" s="21" t="inlineStr">
        <is>
          <t>Glass Bottle</t>
        </is>
      </c>
      <c r="I56" s="21" t="inlineStr">
        <is>
          <t>Circle</t>
        </is>
      </c>
      <c r="J56" s="21" t="inlineStr">
        <is>
          <t>circle-100ml-frosted-18-415-lotionpump</t>
        </is>
      </c>
      <c r="K56" s="21" t="inlineStr">
        <is>
          <t>kh7d5427c8pnrethv8qaapgpzs83kbn6</t>
        </is>
      </c>
      <c r="L56" s="21" t="inlineStr">
        <is>
          <t>LB-CIR-FRS-100ML-LPM-COCP</t>
        </is>
      </c>
      <c r="M56" s="21" t="inlineStr">
        <is>
          <t>LBCrclFrst100LtnClOvrCap</t>
        </is>
      </c>
      <c r="N56" s="21" t="inlineStr">
        <is>
          <t>LBCrclFrst100LtnClOvrCap</t>
        </is>
      </c>
      <c r="O56" s="22" t="inlineStr">
        <is>
          <t>https://www.bestbottles.com/product/circle-design-100-ml-frosted-glass-bottle-clear-over-the-cap-lotion-pump-matte-silver-collar-cap</t>
        </is>
      </c>
      <c r="P56" s="23" t="inlineStr">
        <is>
          <t>No</t>
        </is>
      </c>
      <c r="Q56" s="21" t="n"/>
      <c r="R56" s="21" t="n">
        <v>7</v>
      </c>
      <c r="S56" s="21" t="n">
        <v>3.55</v>
      </c>
      <c r="T56" s="21" t="n">
        <v>3.55</v>
      </c>
      <c r="U56" s="21" t="n"/>
      <c r="V56" s="21" t="n"/>
      <c r="W56" s="21" t="n"/>
      <c r="X56" s="21" t="n"/>
    </row>
    <row r="57" ht="15" customHeight="1" s="19">
      <c r="A57" s="24" t="n">
        <v>56</v>
      </c>
      <c r="B57" s="24" t="inlineStr">
        <is>
          <t>Circle</t>
        </is>
      </c>
      <c r="C57" s="24" t="n">
        <v>100</v>
      </c>
      <c r="D57" s="24" t="inlineStr">
        <is>
          <t>Frosted</t>
        </is>
      </c>
      <c r="E57" s="24" t="inlineStr">
        <is>
          <t>Perfume Spray Pump</t>
        </is>
      </c>
      <c r="F57" s="24" t="inlineStr">
        <is>
          <t>18-415</t>
        </is>
      </c>
      <c r="G57" s="24" t="inlineStr">
        <is>
          <t>100 ml Frosted Circle Bottle</t>
        </is>
      </c>
      <c r="H57" s="24" t="inlineStr">
        <is>
          <t>Glass Bottle</t>
        </is>
      </c>
      <c r="I57" s="24" t="inlineStr">
        <is>
          <t>Circle</t>
        </is>
      </c>
      <c r="J57" s="24" t="inlineStr">
        <is>
          <t>circle-100ml-frosted-18-415-perfumespray</t>
        </is>
      </c>
      <c r="K57" s="24" t="inlineStr">
        <is>
          <t>kh71ed5k19svxbv717qj3qwknx83kz0n</t>
        </is>
      </c>
      <c r="L57" s="24" t="inlineStr">
        <is>
          <t>GB-CIR-FRS-100ML-SPR-CPR</t>
        </is>
      </c>
      <c r="M57" s="24" t="inlineStr">
        <is>
          <t>GBCrclFrst100SpryCu</t>
        </is>
      </c>
      <c r="N57" s="24" t="inlineStr">
        <is>
          <t>GBCrclFrst100SpryCu, GBCrclFrst100SpryMtGl, GBCrclFrst100SpryShnGl, GBCrclFrst100SpryShnBlk, GBCrclFrst100SpryMtSl, GBCrclFrst100SpryShnSl</t>
        </is>
      </c>
      <c r="O57" s="25" t="inlineStr">
        <is>
          <t>https://www.bestbottles.com/product/circle-design-100-ml-frosted-glass-bottle-matte-copper-spray-and-cap</t>
        </is>
      </c>
      <c r="P57" s="23" t="inlineStr">
        <is>
          <t>No</t>
        </is>
      </c>
      <c r="Q57" s="24" t="n"/>
      <c r="R57" s="24" t="n">
        <v>6</v>
      </c>
      <c r="S57" s="24" t="n">
        <v>3.55</v>
      </c>
      <c r="T57" s="24" t="n">
        <v>3.55</v>
      </c>
      <c r="U57" s="24" t="n"/>
      <c r="V57" s="24" t="n"/>
      <c r="W57" s="24" t="n"/>
      <c r="X57" s="24" t="n"/>
    </row>
    <row r="58" ht="15" customHeight="1" s="19">
      <c r="A58" s="21" t="n">
        <v>57</v>
      </c>
      <c r="B58" s="21" t="inlineStr">
        <is>
          <t>Circle</t>
        </is>
      </c>
      <c r="C58" s="21" t="n">
        <v>100</v>
      </c>
      <c r="D58" s="21" t="inlineStr">
        <is>
          <t>Frosted</t>
        </is>
      </c>
      <c r="E58" s="21" t="inlineStr">
        <is>
          <t>Reducer</t>
        </is>
      </c>
      <c r="F58" s="21" t="inlineStr">
        <is>
          <t>18-415</t>
        </is>
      </c>
      <c r="G58" s="21" t="inlineStr">
        <is>
          <t>100 ml Frosted Circle Reducer Bottle</t>
        </is>
      </c>
      <c r="H58" s="21" t="inlineStr">
        <is>
          <t>Glass Bottle</t>
        </is>
      </c>
      <c r="I58" s="21" t="inlineStr">
        <is>
          <t>Circle</t>
        </is>
      </c>
      <c r="J58" s="21" t="inlineStr">
        <is>
          <t>circle-100ml-frosted-18-415-reducer</t>
        </is>
      </c>
      <c r="K58" s="21" t="inlineStr">
        <is>
          <t>kh7686a0892wjs2y1wzd99sceh83kagp</t>
        </is>
      </c>
      <c r="L58" s="21" t="inlineStr">
        <is>
          <t>GB-CIR-FRS-100ML-RDC-SSLV</t>
        </is>
      </c>
      <c r="M58" s="21" t="inlineStr">
        <is>
          <t>GBCrclFrst100RdcrShnSl</t>
        </is>
      </c>
      <c r="N58" s="21" t="inlineStr">
        <is>
          <t>GBCrclFrst100RdcrShnSl, GBCrclFrst100RdcrShnGl, GBCrclFrst100RdcrIvyLthr, GBCrclFrst100RdcrPnkLthr, GBCrclFrst100RdcrShnBlkTall, GBCrclFrst100RdcrShnBlk, GBCrclFrst100RdcrBrwnLthr, GBCrclFrst100RdcrLBrwnLthr, GBCrclFrst100RdcrMtSlTall, GBCrclFrst100RdcrMtSl, GBCrclFrst100RdcrWht, GBCrclFrst100RdcrBlkLthr</t>
        </is>
      </c>
      <c r="O58" s="22" t="inlineStr">
        <is>
          <t>https://www.bestbottles.com/product/circle-design-100-ml-frosted-glass-bottle-reducer-shiny-silver-cap</t>
        </is>
      </c>
      <c r="P58" s="23" t="inlineStr">
        <is>
          <t>No</t>
        </is>
      </c>
      <c r="Q58" s="21" t="n"/>
      <c r="R58" s="21" t="n">
        <v>12</v>
      </c>
      <c r="S58" s="21" t="n">
        <v>2.52</v>
      </c>
      <c r="T58" s="21" t="n">
        <v>2.8</v>
      </c>
      <c r="U58" s="21" t="n"/>
      <c r="V58" s="21" t="n"/>
      <c r="W58" s="21" t="n"/>
      <c r="X58" s="21" t="n"/>
    </row>
    <row r="59" ht="15" customHeight="1" s="19">
      <c r="A59" s="24" t="n">
        <v>58</v>
      </c>
      <c r="B59" s="24" t="inlineStr">
        <is>
          <t>Circle</t>
        </is>
      </c>
      <c r="C59" s="24" t="n">
        <v>100</v>
      </c>
      <c r="D59" s="24" t="inlineStr">
        <is>
          <t>Frosted</t>
        </is>
      </c>
      <c r="E59" s="24" t="inlineStr">
        <is>
          <t>Vintage Bulb Sprayer</t>
        </is>
      </c>
      <c r="F59" s="24" t="inlineStr">
        <is>
          <t>18-415</t>
        </is>
      </c>
      <c r="G59" s="24" t="inlineStr">
        <is>
          <t>100 ml Frosted Circle Vintage Bulb Spray Bottle</t>
        </is>
      </c>
      <c r="H59" s="24" t="inlineStr">
        <is>
          <t>Glass Bottle</t>
        </is>
      </c>
      <c r="I59" s="24" t="inlineStr">
        <is>
          <t>Circle</t>
        </is>
      </c>
      <c r="J59" s="24" t="inlineStr">
        <is>
          <t>circle-100ml-frosted-18-415-antiquespray</t>
        </is>
      </c>
      <c r="K59" s="24" t="inlineStr">
        <is>
          <t>kh72d8bm4pvmzcdrgk6ya354nn83knae</t>
        </is>
      </c>
      <c r="L59" s="24" t="inlineStr">
        <is>
          <t>GB-CIR-FRS-100ML-ASP-BLK</t>
        </is>
      </c>
      <c r="M59" s="24" t="inlineStr">
        <is>
          <t>GBCrclFrst100AnSpBlk</t>
        </is>
      </c>
      <c r="N59" s="24" t="inlineStr">
        <is>
          <t>GBCrclFrst100AnSpBlk, GBCrclFrst100AnSpTslBlk, GBCrclFrst100AnSpGl, GBCrclFrst100AnSpIvyGl, GBCrclFrst100AnSpLvn</t>
        </is>
      </c>
      <c r="O59" s="25" t="inlineStr">
        <is>
          <t>https://www.bestbottles.com/product/circle-design-100-ml-frosted-glass-bottle-black-vintage-style-bulb-sprayer-shiny-silver-collar-cap</t>
        </is>
      </c>
      <c r="P59" s="23" t="inlineStr">
        <is>
          <t>No</t>
        </is>
      </c>
      <c r="Q59" s="24" t="n"/>
      <c r="R59" s="24" t="n">
        <v>15</v>
      </c>
      <c r="S59" s="24" t="n">
        <v>6.4</v>
      </c>
      <c r="T59" s="24" t="n">
        <v>7.15</v>
      </c>
      <c r="U59" s="24" t="n"/>
      <c r="V59" s="24" t="n"/>
      <c r="W59" s="24" t="n"/>
      <c r="X59" s="24" t="n"/>
    </row>
    <row r="60" ht="15" customHeight="1" s="19">
      <c r="A60" s="21" t="n">
        <v>59</v>
      </c>
      <c r="B60" s="21" t="inlineStr">
        <is>
          <t>Circle</t>
        </is>
      </c>
      <c r="C60" s="21" t="n">
        <v>100</v>
      </c>
      <c r="D60" s="21" t="inlineStr">
        <is>
          <t>Frosted</t>
        </is>
      </c>
      <c r="E60" s="21" t="inlineStr">
        <is>
          <t>Vintage Bulb Sprayer with Tassel</t>
        </is>
      </c>
      <c r="F60" s="21" t="inlineStr">
        <is>
          <t>18-415</t>
        </is>
      </c>
      <c r="G60" s="21" t="inlineStr">
        <is>
          <t>100 ml Frosted Circle Vintage Bulb Spray Bottle with Tassel</t>
        </is>
      </c>
      <c r="H60" s="21" t="inlineStr">
        <is>
          <t>Glass Bottle</t>
        </is>
      </c>
      <c r="I60" s="21" t="inlineStr">
        <is>
          <t>Circle</t>
        </is>
      </c>
      <c r="J60" s="21" t="inlineStr">
        <is>
          <t>circle-100ml-frosted-18-415-antiquespray-tassel</t>
        </is>
      </c>
      <c r="K60" s="21" t="inlineStr">
        <is>
          <t>kh7bqcwcscg0b9tyw0dx5xwt1983kjng</t>
        </is>
      </c>
      <c r="L60" s="21" t="n"/>
      <c r="M60" s="21" t="n"/>
      <c r="N60" s="21" t="n"/>
      <c r="O60" s="21" t="n"/>
      <c r="P60" s="23" t="inlineStr">
        <is>
          <t>No</t>
        </is>
      </c>
      <c r="Q60" s="21" t="n"/>
      <c r="R60" s="21" t="n">
        <v>3</v>
      </c>
      <c r="S60" s="21" t="n">
        <v>7.15</v>
      </c>
      <c r="T60" s="21" t="n">
        <v>7.15</v>
      </c>
      <c r="U60" s="21" t="n"/>
      <c r="V60" s="21" t="n"/>
      <c r="W60" s="21" t="n"/>
      <c r="X60" s="21" t="n"/>
    </row>
    <row r="61" ht="15" customHeight="1" s="19">
      <c r="A61" s="24" t="n">
        <v>60</v>
      </c>
      <c r="B61" s="24" t="inlineStr">
        <is>
          <t>Cylinder</t>
        </is>
      </c>
      <c r="C61" s="24" t="n">
        <v>3</v>
      </c>
      <c r="D61" s="24" t="inlineStr">
        <is>
          <t>Clear</t>
        </is>
      </c>
      <c r="E61" s="24" t="inlineStr">
        <is>
          <t>Fine Mist Sprayer</t>
        </is>
      </c>
      <c r="F61" s="24" t="inlineStr">
        <is>
          <t>12mm</t>
        </is>
      </c>
      <c r="G61" s="24" t="inlineStr">
        <is>
          <t>3 ml Clear Cylinder Fine Mist Spray Bottle</t>
        </is>
      </c>
      <c r="H61" s="24" t="inlineStr">
        <is>
          <t>Glass Bottle</t>
        </is>
      </c>
      <c r="I61" s="24" t="inlineStr">
        <is>
          <t>Spray Bottle</t>
        </is>
      </c>
      <c r="J61" s="24" t="inlineStr">
        <is>
          <t>cylinder-3ml-clear-12mm-finemist</t>
        </is>
      </c>
      <c r="K61" s="24" t="inlineStr">
        <is>
          <t>kh7ayajaxscgv7jjakdg3r9ahx83k95d</t>
        </is>
      </c>
      <c r="L61" s="24" t="inlineStr">
        <is>
          <t>GB-SPR-CLR-3ML-BLK</t>
        </is>
      </c>
      <c r="M61" s="24" t="inlineStr">
        <is>
          <t>GBSpry3mlClBlk</t>
        </is>
      </c>
      <c r="N61" s="24" t="inlineStr">
        <is>
          <t>GBSpry3mlClBlk, GBSpry3mlClWht</t>
        </is>
      </c>
      <c r="O61" s="25" t="inlineStr">
        <is>
          <t>https://www.bestbottles.com/product/Sample-Promotional-Decant-Spray-clear-glass-vial-Black-Sprayer-3ml</t>
        </is>
      </c>
      <c r="P61" s="26" t="inlineStr">
        <is>
          <t>Yes</t>
        </is>
      </c>
      <c r="Q61" s="25" t="inlineStr">
        <is>
          <t>https://cdn.sanity.io/images/gh97irjh/production/a73889045844543da5c4c7f897dff68cf858b17a-928x1152.jpg</t>
        </is>
      </c>
      <c r="R61" s="24" t="n">
        <v>2</v>
      </c>
      <c r="S61" s="24" t="n">
        <v>0.37</v>
      </c>
      <c r="T61" s="24" t="n">
        <v>0.37</v>
      </c>
      <c r="U61" s="24" t="n"/>
      <c r="V61" s="24" t="n"/>
      <c r="W61" s="24" t="n"/>
      <c r="X61" s="24" t="n"/>
    </row>
    <row r="62" ht="15" customHeight="1" s="19">
      <c r="A62" s="21" t="n">
        <v>61</v>
      </c>
      <c r="B62" s="21" t="inlineStr">
        <is>
          <t>Cylinder</t>
        </is>
      </c>
      <c r="C62" s="21" t="n">
        <v>4</v>
      </c>
      <c r="D62" s="21" t="inlineStr">
        <is>
          <t>Clear</t>
        </is>
      </c>
      <c r="E62" s="21" t="inlineStr">
        <is>
          <t>Fine Mist Sprayer</t>
        </is>
      </c>
      <c r="F62" s="21" t="inlineStr">
        <is>
          <t>12mm</t>
        </is>
      </c>
      <c r="G62" s="21" t="inlineStr">
        <is>
          <t>4 ml Clear Cylinder Fine Mist Spray Bottle</t>
        </is>
      </c>
      <c r="H62" s="21" t="inlineStr">
        <is>
          <t>Glass Bottle</t>
        </is>
      </c>
      <c r="I62" s="21" t="inlineStr">
        <is>
          <t>Spray Bottle</t>
        </is>
      </c>
      <c r="J62" s="21" t="inlineStr">
        <is>
          <t>cylinder-4ml-clear-12mm-finemist</t>
        </is>
      </c>
      <c r="K62" s="21" t="inlineStr">
        <is>
          <t>kh78tsaqtswaqy1vjjd3dzcx6n83j6sm</t>
        </is>
      </c>
      <c r="L62" s="21" t="inlineStr">
        <is>
          <t>GB-SPR-CLR-4ML-BLK</t>
        </is>
      </c>
      <c r="M62" s="21" t="inlineStr">
        <is>
          <t>GBSpry4mlClBlk</t>
        </is>
      </c>
      <c r="N62" s="21" t="inlineStr">
        <is>
          <t>GBSpry4mlClBlk, GBSpry4mlClWh</t>
        </is>
      </c>
      <c r="O62" s="22" t="inlineStr">
        <is>
          <t>https://www.bestbottles.com/product/Sample-Promotional-Decant-Spray-clear-glass-vial-Black-Sprayer-4ml</t>
        </is>
      </c>
      <c r="P62" s="26" t="inlineStr">
        <is>
          <t>Yes</t>
        </is>
      </c>
      <c r="Q62" s="22" t="inlineStr">
        <is>
          <t>https://cdn.sanity.io/images/gh97irjh/production/3b26e63b92a30e6132b7480b037fe948e0f1996a-928x1152.jpg</t>
        </is>
      </c>
      <c r="R62" s="21" t="n">
        <v>2</v>
      </c>
      <c r="S62" s="21" t="n">
        <v>0.39</v>
      </c>
      <c r="T62" s="21" t="n">
        <v>0.39</v>
      </c>
      <c r="U62" s="21" t="n"/>
      <c r="V62" s="21" t="n"/>
      <c r="W62" s="21" t="n"/>
      <c r="X62" s="21" t="n"/>
    </row>
    <row r="63" ht="15" customHeight="1" s="19">
      <c r="A63" s="24" t="n">
        <v>62</v>
      </c>
      <c r="B63" s="24" t="inlineStr">
        <is>
          <t>Cylinder</t>
        </is>
      </c>
      <c r="C63" s="24" t="n">
        <v>5</v>
      </c>
      <c r="D63" s="24" t="inlineStr">
        <is>
          <t>Clear</t>
        </is>
      </c>
      <c r="E63" s="24" t="inlineStr">
        <is>
          <t>Cap/Closure</t>
        </is>
      </c>
      <c r="F63" s="24" t="inlineStr">
        <is>
          <t>13-415</t>
        </is>
      </c>
      <c r="G63" s="24" t="inlineStr">
        <is>
          <t>5 ml Clear Cylinder Bottle with Cap</t>
        </is>
      </c>
      <c r="H63" s="24" t="inlineStr">
        <is>
          <t>Glass Bottle</t>
        </is>
      </c>
      <c r="I63" s="24" t="inlineStr">
        <is>
          <t>Cylinder</t>
        </is>
      </c>
      <c r="J63" s="24" t="inlineStr">
        <is>
          <t>cylinder-5ml-clear-13-415</t>
        </is>
      </c>
      <c r="K63" s="24" t="inlineStr">
        <is>
          <t>kh73xt9vm0decgq6zq8392fekh83kcdd</t>
        </is>
      </c>
      <c r="L63" s="24" t="inlineStr">
        <is>
          <t>GB-CYL-CLR-5ML-SLV-T</t>
        </is>
      </c>
      <c r="M63" s="24" t="inlineStr">
        <is>
          <t>GBCyl5Sl</t>
        </is>
      </c>
      <c r="N63" s="24" t="inlineStr">
        <is>
          <t>GBCyl5Sl, GBCyl5Gl</t>
        </is>
      </c>
      <c r="O63" s="25" t="inlineStr">
        <is>
          <t>https://www.bestbottles.com/product/cylinder-design-5-ml-glass-bottle-shiny-silver-cap</t>
        </is>
      </c>
      <c r="P63" s="26" t="inlineStr">
        <is>
          <t>Yes</t>
        </is>
      </c>
      <c r="Q63" s="25" t="inlineStr">
        <is>
          <t>https://cdn.sanity.io/images/gh97irjh/production/d2cf82e90e7f182dc41a3baf4969c73d2887bd05-928x1152.jpg</t>
        </is>
      </c>
      <c r="R63" s="24" t="n">
        <v>3</v>
      </c>
      <c r="S63" s="24" t="n">
        <v>0.31</v>
      </c>
      <c r="T63" s="24" t="n">
        <v>0.49</v>
      </c>
      <c r="U63" s="24" t="n"/>
      <c r="V63" s="24" t="n"/>
      <c r="W63" s="24" t="n"/>
      <c r="X63" s="24" t="n"/>
    </row>
    <row r="64" ht="15" customHeight="1" s="19">
      <c r="A64" s="21" t="n">
        <v>63</v>
      </c>
      <c r="B64" s="21" t="inlineStr">
        <is>
          <t>Cylinder</t>
        </is>
      </c>
      <c r="C64" s="21" t="n">
        <v>5</v>
      </c>
      <c r="D64" s="21" t="inlineStr">
        <is>
          <t>Clear</t>
        </is>
      </c>
      <c r="E64" s="21" t="inlineStr">
        <is>
          <t>Fine Mist Sprayer</t>
        </is>
      </c>
      <c r="F64" s="21" t="inlineStr">
        <is>
          <t>13-415</t>
        </is>
      </c>
      <c r="G64" s="21" t="inlineStr">
        <is>
          <t>5 ml Clear Cylinder Fine Mist Spray Bottle</t>
        </is>
      </c>
      <c r="H64" s="21" t="inlineStr">
        <is>
          <t>Glass Bottle</t>
        </is>
      </c>
      <c r="I64" s="21" t="inlineStr">
        <is>
          <t>Cylinder</t>
        </is>
      </c>
      <c r="J64" s="21" t="inlineStr">
        <is>
          <t>cylinder-5ml-clear-13-415-finemist</t>
        </is>
      </c>
      <c r="K64" s="21" t="inlineStr">
        <is>
          <t>kh7a6sws90b56m15b7mzdc9d4x83jyed</t>
        </is>
      </c>
      <c r="L64" s="21" t="inlineStr">
        <is>
          <t>GB-CYL-CLR-5ML-SPR-MBLK</t>
        </is>
      </c>
      <c r="M64" s="21" t="inlineStr">
        <is>
          <t>GBCyl5SpryBlkMatt</t>
        </is>
      </c>
      <c r="N64" s="21" t="inlineStr">
        <is>
          <t>GBCyl5SpryBlkMatt, GBCyl5SprySlMatt, GBCyl5SpryBlkSh, GBCyl5SpryGlSh, GBCyl5SprySlSh, GBCyl5SpryBluMatt, GBCyl5SpryCuMatt, GBCyl5SpryGlMatt</t>
        </is>
      </c>
      <c r="O64" s="22" t="inlineStr">
        <is>
          <t>https://www.bestbottles.com/product/cylinder-design-5-ml-glass-bottle-matte-black-spray</t>
        </is>
      </c>
      <c r="P64" s="26" t="inlineStr">
        <is>
          <t>Yes</t>
        </is>
      </c>
      <c r="Q64" s="22" t="inlineStr">
        <is>
          <t>https://cdn.sanity.io/images/gh97irjh/production/dd49badea1ff0df0dd630954d1a5e4850608e9d2-928x1152.jpg</t>
        </is>
      </c>
      <c r="R64" s="21" t="n">
        <v>8</v>
      </c>
      <c r="S64" s="21" t="n">
        <v>0.76</v>
      </c>
      <c r="T64" s="21" t="n">
        <v>0.76</v>
      </c>
      <c r="U64" s="27" t="inlineStr">
        <is>
          <t>Ready</t>
        </is>
      </c>
      <c r="V64" s="28" t="inlineStr">
        <is>
          <t>Pending</t>
        </is>
      </c>
      <c r="W64" s="28" t="inlineStr">
        <is>
          <t>Pending</t>
        </is>
      </c>
      <c r="X64" s="21" t="inlineStr">
        <is>
          <t>Prompt #1 in Prompt Log sheet. Cap-off, cream bg, stone pedestal.</t>
        </is>
      </c>
    </row>
    <row r="65" ht="15" customHeight="1" s="19">
      <c r="A65" s="24" t="n">
        <v>64</v>
      </c>
      <c r="B65" s="24" t="inlineStr">
        <is>
          <t>Cylinder</t>
        </is>
      </c>
      <c r="C65" s="24" t="n">
        <v>5</v>
      </c>
      <c r="D65" s="24" t="inlineStr">
        <is>
          <t>Clear</t>
        </is>
      </c>
      <c r="E65" s="24" t="inlineStr">
        <is>
          <t>Metal Roller Ball, Plastic Roller Ball</t>
        </is>
      </c>
      <c r="F65" s="24" t="inlineStr">
        <is>
          <t>13-415</t>
        </is>
      </c>
      <c r="G65" s="24" t="inlineStr">
        <is>
          <t>5 ml Clear Cylinder Roll-On Bottle</t>
        </is>
      </c>
      <c r="H65" s="24" t="inlineStr">
        <is>
          <t>Glass Bottle</t>
        </is>
      </c>
      <c r="I65" s="24" t="inlineStr">
        <is>
          <t>Cylinder</t>
        </is>
      </c>
      <c r="J65" s="24" t="inlineStr">
        <is>
          <t>cylinder-5ml-clear-13-415-rollon</t>
        </is>
      </c>
      <c r="K65" s="24" t="inlineStr">
        <is>
          <t>kh72y040t36p4phw9zkreayxcx83krv4</t>
        </is>
      </c>
      <c r="L65" s="24" t="inlineStr">
        <is>
          <t>GB-CYL-CLR-5ML-MRL-SBLK</t>
        </is>
      </c>
      <c r="M65" s="24" t="inlineStr">
        <is>
          <t>GBCyl5MtlRollBlkSh</t>
        </is>
      </c>
      <c r="N65" s="24" t="inlineStr">
        <is>
          <t>GBCyl5MtlRollBlkSh, GBCyl5MtlRollCuMatt, GBCyl5MtlRollGlMatt, GBCyl5MtlRollGlSh, GBCyl5MtlRollPinkDot, GBCyl5MtlRollSlDot, GBCyl5MtlRollSlMatt, GBCyl5MtlRollSlSh, GBCyl5RollBlkDot, GBCyl5RollSlSh, GBCyl5RollBlkSh</t>
        </is>
      </c>
      <c r="O65" s="25" t="inlineStr">
        <is>
          <t>https://www.bestbottles.com/product/cylinder-design-5-ml-glass-bottle-metal-roller-ball-plug-black-shiny-cap</t>
        </is>
      </c>
      <c r="P65" s="26" t="inlineStr">
        <is>
          <t>Yes</t>
        </is>
      </c>
      <c r="Q65" s="25" t="inlineStr">
        <is>
          <t>https://cdn.sanity.io/images/gh97irjh/production/1da96c2a3c3ae3a76831bc5c6cd560b2b10ef5eb-4044x4508.jpg</t>
        </is>
      </c>
      <c r="R65" s="24" t="n">
        <v>18</v>
      </c>
      <c r="S65" s="24" t="n">
        <v>0.53</v>
      </c>
      <c r="T65" s="24" t="n">
        <v>0.68</v>
      </c>
      <c r="U65" s="24" t="n"/>
      <c r="V65" s="24" t="n"/>
      <c r="W65" s="24" t="n"/>
      <c r="X65" s="24" t="n"/>
    </row>
    <row r="66" ht="15" customHeight="1" s="19">
      <c r="A66" s="21" t="n">
        <v>65</v>
      </c>
      <c r="B66" s="21" t="inlineStr">
        <is>
          <t>Cylinder</t>
        </is>
      </c>
      <c r="C66" s="21" t="n">
        <v>5</v>
      </c>
      <c r="D66" s="21" t="inlineStr">
        <is>
          <t>Cobalt Blue</t>
        </is>
      </c>
      <c r="E66" s="21" t="inlineStr">
        <is>
          <t>Cap/Closure</t>
        </is>
      </c>
      <c r="F66" s="21" t="inlineStr">
        <is>
          <t>13-415</t>
        </is>
      </c>
      <c r="G66" s="21" t="inlineStr">
        <is>
          <t>5 ml Cobalt Blue Cylinder Bottle with Cap</t>
        </is>
      </c>
      <c r="H66" s="21" t="inlineStr">
        <is>
          <t>Glass Bottle</t>
        </is>
      </c>
      <c r="I66" s="21" t="inlineStr">
        <is>
          <t>Cylinder</t>
        </is>
      </c>
      <c r="J66" s="21" t="inlineStr">
        <is>
          <t>cylinder-5ml-cobalt-blue-13-415</t>
        </is>
      </c>
      <c r="K66" s="21" t="inlineStr">
        <is>
          <t>kh7bj585kprbq2abezyppvzdas83kctn</t>
        </is>
      </c>
      <c r="L66" s="21" t="inlineStr">
        <is>
          <t>GB-CYL-BLU-5ML-SLV-T</t>
        </is>
      </c>
      <c r="M66" s="21" t="inlineStr">
        <is>
          <t>GBCylBlu5Sl</t>
        </is>
      </c>
      <c r="N66" s="21" t="inlineStr">
        <is>
          <t>GBCylBlu5Sl, GBCylBlu5WhtSht, GBCylBlu5Gl</t>
        </is>
      </c>
      <c r="O66" s="22" t="inlineStr">
        <is>
          <t>https://www.bestbottles.com/product/cylinder-design-5-ml-blue-glass-bottle-shiny-silver-cap</t>
        </is>
      </c>
      <c r="P66" s="26" t="inlineStr">
        <is>
          <t>Yes</t>
        </is>
      </c>
      <c r="Q66" s="22" t="inlineStr">
        <is>
          <t>https://cdn.sanity.io/images/gh97irjh/production/ea287369b0801a3da0b863d0836998cd0c00549a-928x1152.jpg</t>
        </is>
      </c>
      <c r="R66" s="21" t="n">
        <v>5</v>
      </c>
      <c r="S66" s="21" t="n">
        <v>0.39</v>
      </c>
      <c r="T66" s="21" t="n">
        <v>0.52</v>
      </c>
      <c r="U66" s="21" t="n"/>
      <c r="V66" s="21" t="n"/>
      <c r="W66" s="21" t="n"/>
      <c r="X66" s="21" t="n"/>
    </row>
    <row r="67" ht="15" customHeight="1" s="19">
      <c r="A67" s="24" t="n">
        <v>66</v>
      </c>
      <c r="B67" s="24" t="inlineStr">
        <is>
          <t>Cylinder</t>
        </is>
      </c>
      <c r="C67" s="24" t="n">
        <v>5</v>
      </c>
      <c r="D67" s="24" t="inlineStr">
        <is>
          <t>Cobalt Blue</t>
        </is>
      </c>
      <c r="E67" s="24" t="inlineStr">
        <is>
          <t>Fine Mist Sprayer</t>
        </is>
      </c>
      <c r="F67" s="24" t="inlineStr">
        <is>
          <t>13-415</t>
        </is>
      </c>
      <c r="G67" s="24" t="inlineStr">
        <is>
          <t>5 ml Cobalt Blue Cylinder Fine Mist Spray Bottle</t>
        </is>
      </c>
      <c r="H67" s="24" t="inlineStr">
        <is>
          <t>Glass Bottle</t>
        </is>
      </c>
      <c r="I67" s="24" t="inlineStr">
        <is>
          <t>Cylinder</t>
        </is>
      </c>
      <c r="J67" s="24" t="inlineStr">
        <is>
          <t>cylinder-5ml-cobalt-blue-13-415-finemist</t>
        </is>
      </c>
      <c r="K67" s="24" t="inlineStr">
        <is>
          <t>kh76s7q1kyc9bx5j1sty4btby583k84c</t>
        </is>
      </c>
      <c r="L67" s="24" t="inlineStr">
        <is>
          <t>GB-CYL-BLU-5ML-SPR-SSLV</t>
        </is>
      </c>
      <c r="M67" s="24" t="inlineStr">
        <is>
          <t>GBCylBlu5SprySlSh</t>
        </is>
      </c>
      <c r="N67" s="24" t="inlineStr">
        <is>
          <t>GBCylBlu5SprySlSh, GBCylBlu5SpryBlkSh, GBCylBlu5SpryGlSh, GBCylBlu5SpryGlMatt, GBCylBlu5SpryBluMatt, GBCylBlu5SpryCuMatt, GBCylBlu5SprySlMatt</t>
        </is>
      </c>
      <c r="O67" s="25" t="inlineStr">
        <is>
          <t>https://www.bestbottles.com/product/cylinder-design-5-ml-blue-glass-bottle-shiny-silver-spray</t>
        </is>
      </c>
      <c r="P67" s="26" t="inlineStr">
        <is>
          <t>Yes</t>
        </is>
      </c>
      <c r="Q67" s="25" t="inlineStr">
        <is>
          <t>https://cdn.sanity.io/images/gh97irjh/production/c3a972a80e2fb8aa4d5e703e5356f6c28f5db980-928x1152.jpg</t>
        </is>
      </c>
      <c r="R67" s="24" t="n">
        <v>7</v>
      </c>
      <c r="S67" s="24" t="n">
        <v>0.87</v>
      </c>
      <c r="T67" s="24" t="n">
        <v>0.87</v>
      </c>
      <c r="U67" s="29" t="inlineStr">
        <is>
          <t>Ready</t>
        </is>
      </c>
      <c r="V67" s="30" t="inlineStr">
        <is>
          <t>Pending</t>
        </is>
      </c>
      <c r="W67" s="30" t="inlineStr">
        <is>
          <t>Pending</t>
        </is>
      </c>
      <c r="X67" s="24" t="inlineStr">
        <is>
          <t>Prompt #2 in Prompt Log sheet. Cap-off, cream bg, stone pedestal.</t>
        </is>
      </c>
    </row>
    <row r="68" ht="15" customHeight="1" s="19">
      <c r="A68" s="21" t="n">
        <v>67</v>
      </c>
      <c r="B68" s="21" t="inlineStr">
        <is>
          <t>Cylinder</t>
        </is>
      </c>
      <c r="C68" s="21" t="n">
        <v>5</v>
      </c>
      <c r="D68" s="21" t="inlineStr">
        <is>
          <t>Cobalt Blue</t>
        </is>
      </c>
      <c r="E68" s="21" t="inlineStr">
        <is>
          <t>Metal Roller Ball</t>
        </is>
      </c>
      <c r="F68" s="21" t="inlineStr">
        <is>
          <t>13-415</t>
        </is>
      </c>
      <c r="G68" s="21" t="inlineStr">
        <is>
          <t>5 ml Cobalt Blue Cylinder Roll-On Bottle</t>
        </is>
      </c>
      <c r="H68" s="21" t="inlineStr">
        <is>
          <t>Glass Bottle</t>
        </is>
      </c>
      <c r="I68" s="21" t="inlineStr">
        <is>
          <t>Cylinder</t>
        </is>
      </c>
      <c r="J68" s="21" t="inlineStr">
        <is>
          <t>cylinder-5ml-cobalt-blue-13-415-rollon</t>
        </is>
      </c>
      <c r="K68" s="21" t="inlineStr">
        <is>
          <t>kh7cj1n5s02hty4cb3fg9mptbn83j6dr</t>
        </is>
      </c>
      <c r="L68" s="21" t="inlineStr">
        <is>
          <t>GB-CYL-BLU-5ML-MRL-SBLK</t>
        </is>
      </c>
      <c r="M68" s="21" t="inlineStr">
        <is>
          <t>GBCylBlu5MtlRollBlkSh</t>
        </is>
      </c>
      <c r="N68" s="21" t="inlineStr">
        <is>
          <t>GBCylBlu5MtlRollBlkSh, GBCylBlu5MtlRollCuMatt, GBCylBlu5MtlRollGlMatt, GBCylBlu5MtlRollGlSh, GBCylBlu5MtlRollPinkDot, GBCylBlu5MtlRollSlDot, GBCylBlu5MtlRollSlMatt, GBCylBlu5MtlRollSlSh</t>
        </is>
      </c>
      <c r="O68" s="22" t="inlineStr">
        <is>
          <t>https://www.bestbottles.com/product/cylinder-design-5-ml-blue-glass-bottle-metal-roller-ball-plug-black-shiny-cap</t>
        </is>
      </c>
      <c r="P68" s="26" t="inlineStr">
        <is>
          <t>Yes</t>
        </is>
      </c>
      <c r="Q68" s="22" t="inlineStr">
        <is>
          <t>https://cdn.sanity.io/images/gh97irjh/production/270950426b44e66044c561b1b4cbf31e72b75852-4097x4508.jpg</t>
        </is>
      </c>
      <c r="R68" s="21" t="n">
        <v>18</v>
      </c>
      <c r="S68" s="21" t="n">
        <v>0.64</v>
      </c>
      <c r="T68" s="21" t="n">
        <v>0.72</v>
      </c>
      <c r="U68" s="21" t="n"/>
      <c r="V68" s="21" t="n"/>
      <c r="W68" s="21" t="n"/>
      <c r="X68" s="21" t="n"/>
    </row>
    <row r="69" ht="15" customHeight="1" s="19">
      <c r="A69" s="24" t="n">
        <v>68</v>
      </c>
      <c r="B69" s="24" t="inlineStr">
        <is>
          <t>Cylinder</t>
        </is>
      </c>
      <c r="C69" s="24" t="n">
        <v>9</v>
      </c>
      <c r="D69" s="24" t="inlineStr">
        <is>
          <t>Amber</t>
        </is>
      </c>
      <c r="E69" s="24" t="inlineStr">
        <is>
          <t>Fine Mist Sprayer</t>
        </is>
      </c>
      <c r="F69" s="24" t="inlineStr">
        <is>
          <t>17-415</t>
        </is>
      </c>
      <c r="G69" s="24" t="inlineStr">
        <is>
          <t>9 ml Amber Cylinder Fine Mist Spray Bottle</t>
        </is>
      </c>
      <c r="H69" s="24" t="inlineStr">
        <is>
          <t>Glass Bottle</t>
        </is>
      </c>
      <c r="I69" s="24" t="inlineStr">
        <is>
          <t>Cylinder</t>
        </is>
      </c>
      <c r="J69" s="24" t="inlineStr">
        <is>
          <t>cylinder-9ml-amber-17-415-finemist</t>
        </is>
      </c>
      <c r="K69" s="24" t="inlineStr">
        <is>
          <t>kh7a84fkz52557wy8j3f9tyv2983jzb2</t>
        </is>
      </c>
      <c r="L69" s="24" t="inlineStr">
        <is>
          <t>GB-CYL-AMB-9ML-SPR-BLK</t>
        </is>
      </c>
      <c r="M69" s="24" t="inlineStr">
        <is>
          <t>GBCylAmb9SpryBlk</t>
        </is>
      </c>
      <c r="N69" s="24" t="inlineStr">
        <is>
          <t>GBCylAmb9SpryBlk</t>
        </is>
      </c>
      <c r="O69" s="25" t="inlineStr">
        <is>
          <t>https://www.bestbottles.com/product/cylinder-design-9-ml-amber-glass-bottle-sprayer-black-trim-and-cap</t>
        </is>
      </c>
      <c r="P69" s="26" t="inlineStr">
        <is>
          <t>Yes</t>
        </is>
      </c>
      <c r="Q69" s="25" t="inlineStr">
        <is>
          <t>https://cdn.sanity.io/images/gh97irjh/production/f7323a6bcdee22fca80eb7fe8c2c1fc48443f87e-928x1152.jpg</t>
        </is>
      </c>
      <c r="R69" s="24" t="n">
        <v>6</v>
      </c>
      <c r="S69" s="24" t="n">
        <v>0.9</v>
      </c>
      <c r="T69" s="24" t="n">
        <v>0.9</v>
      </c>
      <c r="U69" s="24" t="n"/>
      <c r="V69" s="24" t="n"/>
      <c r="W69" s="24" t="n"/>
      <c r="X69" s="24" t="n"/>
    </row>
    <row r="70" ht="15" customHeight="1" s="19">
      <c r="A70" s="21" t="n">
        <v>69</v>
      </c>
      <c r="B70" s="21" t="inlineStr">
        <is>
          <t>Cylinder</t>
        </is>
      </c>
      <c r="C70" s="21" t="n">
        <v>9</v>
      </c>
      <c r="D70" s="21" t="inlineStr">
        <is>
          <t>Amber</t>
        </is>
      </c>
      <c r="E70" s="21" t="inlineStr">
        <is>
          <t>Lotion Pump</t>
        </is>
      </c>
      <c r="F70" s="21" t="inlineStr">
        <is>
          <t>17-415</t>
        </is>
      </c>
      <c r="G70" s="21" t="inlineStr">
        <is>
          <t>9 ml Amber Cylinder Lotion Pump Bottle</t>
        </is>
      </c>
      <c r="H70" s="21" t="inlineStr">
        <is>
          <t>Glass Bottle</t>
        </is>
      </c>
      <c r="I70" s="21" t="inlineStr">
        <is>
          <t>Cylinder</t>
        </is>
      </c>
      <c r="J70" s="21" t="inlineStr">
        <is>
          <t>cylinder-9ml-amber-17-415-lotionpump</t>
        </is>
      </c>
      <c r="K70" s="21" t="inlineStr">
        <is>
          <t>kh7fqhp9b9qgbea83hj1mfesj183j343</t>
        </is>
      </c>
      <c r="L70" s="21" t="inlineStr">
        <is>
          <t>LB-CYL-AMB-9ML-LPM-GLD</t>
        </is>
      </c>
      <c r="M70" s="21" t="inlineStr">
        <is>
          <t>LBCylAmb9LtnGl</t>
        </is>
      </c>
      <c r="N70" s="21" t="inlineStr">
        <is>
          <t>LBCylAmb9LtnGl, LBCylAmb9LtnMtSl</t>
        </is>
      </c>
      <c r="O70" s="22" t="inlineStr">
        <is>
          <t>https://www.bestbottles.com/product/cylinder-design-9-ml-amber-glass-bottle-lotion-pump-gold-trim-and-cap</t>
        </is>
      </c>
      <c r="P70" s="26" t="inlineStr">
        <is>
          <t>Yes</t>
        </is>
      </c>
      <c r="Q70" s="22" t="inlineStr">
        <is>
          <t>https://cdn.sanity.io/images/gh97irjh/production/b7d423a8fc4d707b7885deac8062be219b13490b-928x1152.jpg</t>
        </is>
      </c>
      <c r="R70" s="21" t="n">
        <v>3</v>
      </c>
      <c r="S70" s="21" t="n">
        <v>0.88</v>
      </c>
      <c r="T70" s="21" t="n">
        <v>0.88</v>
      </c>
      <c r="U70" s="21" t="n"/>
      <c r="V70" s="21" t="n"/>
      <c r="W70" s="21" t="n"/>
      <c r="X70" s="21" t="n"/>
    </row>
    <row r="71" ht="15" customHeight="1" s="19">
      <c r="A71" s="24" t="n">
        <v>70</v>
      </c>
      <c r="B71" s="24" t="inlineStr">
        <is>
          <t>Cylinder</t>
        </is>
      </c>
      <c r="C71" s="24" t="n">
        <v>9</v>
      </c>
      <c r="D71" s="24" t="inlineStr">
        <is>
          <t>Amber</t>
        </is>
      </c>
      <c r="E71" s="24" t="inlineStr">
        <is>
          <t>Metal Roller Ball</t>
        </is>
      </c>
      <c r="F71" s="24" t="inlineStr">
        <is>
          <t>17-415</t>
        </is>
      </c>
      <c r="G71" s="24" t="inlineStr">
        <is>
          <t>9 ml Amber Cylinder Roll-On Bottle</t>
        </is>
      </c>
      <c r="H71" s="24" t="inlineStr">
        <is>
          <t>Glass Bottle</t>
        </is>
      </c>
      <c r="I71" s="24" t="inlineStr">
        <is>
          <t>Cylinder</t>
        </is>
      </c>
      <c r="J71" s="24" t="inlineStr">
        <is>
          <t>cylinder-9ml-amber-17-415-rollon</t>
        </is>
      </c>
      <c r="K71" s="24" t="inlineStr">
        <is>
          <t>kh771qba96h5kj4qabn8z3nt1d83ktrw</t>
        </is>
      </c>
      <c r="L71" s="24" t="n"/>
      <c r="M71" s="24" t="n"/>
      <c r="N71" s="24" t="n"/>
      <c r="O71" s="24" t="n"/>
      <c r="P71" s="26" t="inlineStr">
        <is>
          <t>Yes</t>
        </is>
      </c>
      <c r="Q71" s="25" t="inlineStr">
        <is>
          <t>https://cdn.sanity.io/images/gh97irjh/production/67b939ad6fa20320e90f0b3838792124705ccc3b-4297x4297.jpg</t>
        </is>
      </c>
      <c r="R71" s="24" t="n">
        <v>20</v>
      </c>
      <c r="S71" s="24" t="n">
        <v>0.57</v>
      </c>
      <c r="T71" s="24" t="n">
        <v>0.82</v>
      </c>
      <c r="U71" s="24" t="n"/>
      <c r="V71" s="24" t="n"/>
      <c r="W71" s="24" t="n"/>
      <c r="X71" s="24" t="n"/>
    </row>
    <row r="72" ht="15" customHeight="1" s="19">
      <c r="A72" s="21" t="n">
        <v>71</v>
      </c>
      <c r="B72" s="21" t="inlineStr">
        <is>
          <t>Cylinder</t>
        </is>
      </c>
      <c r="C72" s="21" t="n">
        <v>9</v>
      </c>
      <c r="D72" s="21" t="inlineStr">
        <is>
          <t>Clear</t>
        </is>
      </c>
      <c r="E72" s="21" t="inlineStr">
        <is>
          <t>Cap/Closure</t>
        </is>
      </c>
      <c r="F72" s="21" t="inlineStr">
        <is>
          <t>13-415</t>
        </is>
      </c>
      <c r="G72" s="21" t="inlineStr">
        <is>
          <t>9 ml Clear Cylinder Bottle with Cap</t>
        </is>
      </c>
      <c r="H72" s="21" t="inlineStr">
        <is>
          <t>Glass Bottle</t>
        </is>
      </c>
      <c r="I72" s="21" t="inlineStr">
        <is>
          <t>Cylinder</t>
        </is>
      </c>
      <c r="J72" s="21" t="inlineStr">
        <is>
          <t>cylinder-9ml-clear-13-415</t>
        </is>
      </c>
      <c r="K72" s="21" t="inlineStr">
        <is>
          <t>kh76yv8qyzbr2dw50svc1gsyy583k7rn</t>
        </is>
      </c>
      <c r="L72" s="21" t="inlineStr">
        <is>
          <t>GB-CYL-CLR-9ML-GLD-T</t>
        </is>
      </c>
      <c r="M72" s="21" t="inlineStr">
        <is>
          <t>GBTallCyl9Gl</t>
        </is>
      </c>
      <c r="N72" s="21" t="inlineStr">
        <is>
          <t>GBTallCyl9Gl, GBTallCyl9Sl</t>
        </is>
      </c>
      <c r="O72" s="22" t="inlineStr">
        <is>
          <t>https://www.bestbottles.com/product/tall-cylinder-design-9-ml-glass-bottle-shiny-gold-cap</t>
        </is>
      </c>
      <c r="P72" s="26" t="inlineStr">
        <is>
          <t>Yes</t>
        </is>
      </c>
      <c r="Q72" s="22" t="inlineStr">
        <is>
          <t>https://cdn.sanity.io/images/gh97irjh/production/5fefa60174c6e64ab8ac00e4fb7c6aaabdf57c91-2000x2200.png</t>
        </is>
      </c>
      <c r="R72" s="21" t="n">
        <v>3</v>
      </c>
      <c r="S72" s="21" t="n">
        <v>0.67</v>
      </c>
      <c r="T72" s="21" t="n">
        <v>0.85</v>
      </c>
      <c r="U72" s="21" t="n"/>
      <c r="V72" s="21" t="n"/>
      <c r="W72" s="21" t="n"/>
      <c r="X72" s="21" t="n"/>
    </row>
    <row r="73" ht="15" customHeight="1" s="19">
      <c r="A73" s="24" t="n">
        <v>72</v>
      </c>
      <c r="B73" s="24" t="inlineStr">
        <is>
          <t>Cylinder</t>
        </is>
      </c>
      <c r="C73" s="24" t="n">
        <v>9</v>
      </c>
      <c r="D73" s="24" t="inlineStr">
        <is>
          <t>Clear</t>
        </is>
      </c>
      <c r="E73" s="24" t="inlineStr">
        <is>
          <t>Cap/Closure</t>
        </is>
      </c>
      <c r="F73" s="24" t="inlineStr">
        <is>
          <t>18-400</t>
        </is>
      </c>
      <c r="G73" s="24" t="inlineStr">
        <is>
          <t>9 ml Clear Cylinder Applicator Bottle</t>
        </is>
      </c>
      <c r="H73" s="24" t="inlineStr">
        <is>
          <t>Glass Bottle</t>
        </is>
      </c>
      <c r="I73" s="24" t="inlineStr">
        <is>
          <t>Cylinder</t>
        </is>
      </c>
      <c r="J73" s="24" t="inlineStr">
        <is>
          <t>cylinder-9ml-clear-18-400-glasswand</t>
        </is>
      </c>
      <c r="K73" s="24" t="inlineStr">
        <is>
          <t>kh7bqnwvs8t6dgppz0ysbze14n83jj9x</t>
        </is>
      </c>
      <c r="L73" s="24" t="n"/>
      <c r="M73" s="24" t="n"/>
      <c r="N73" s="24" t="n"/>
      <c r="O73" s="24" t="n"/>
      <c r="P73" s="26" t="inlineStr">
        <is>
          <t>Yes</t>
        </is>
      </c>
      <c r="Q73" s="25" t="inlineStr">
        <is>
          <t>https://cdn.sanity.io/images/gh97irjh/production/679c575ce63fd443e3afc571349c5ff93071b0c4-4044x4508.jpg</t>
        </is>
      </c>
      <c r="R73" s="24" t="n">
        <v>1</v>
      </c>
      <c r="S73" s="24" t="n">
        <v>0.46</v>
      </c>
      <c r="T73" s="24" t="n">
        <v>0.46</v>
      </c>
      <c r="U73" s="24" t="n"/>
      <c r="V73" s="24" t="n"/>
      <c r="W73" s="24" t="n"/>
      <c r="X73" s="24" t="n"/>
    </row>
    <row r="74" ht="15" customHeight="1" s="19">
      <c r="A74" s="21" t="n">
        <v>73</v>
      </c>
      <c r="B74" s="21" t="inlineStr">
        <is>
          <t>Cylinder</t>
        </is>
      </c>
      <c r="C74" s="21" t="n">
        <v>9</v>
      </c>
      <c r="D74" s="21" t="inlineStr">
        <is>
          <t>Clear</t>
        </is>
      </c>
      <c r="E74" s="21" t="inlineStr">
        <is>
          <t>Cap/Closure</t>
        </is>
      </c>
      <c r="F74" s="21" t="inlineStr">
        <is>
          <t>18-400</t>
        </is>
      </c>
      <c r="G74" s="21" t="inlineStr">
        <is>
          <t>9 ml Clear Cylinder Bottle with Cap</t>
        </is>
      </c>
      <c r="H74" s="21" t="inlineStr">
        <is>
          <t>Glass Bottle</t>
        </is>
      </c>
      <c r="I74" s="21" t="inlineStr">
        <is>
          <t>Cylinder</t>
        </is>
      </c>
      <c r="J74" s="21" t="inlineStr">
        <is>
          <t>cylinder-9ml-clear-18-400</t>
        </is>
      </c>
      <c r="K74" s="21" t="inlineStr">
        <is>
          <t>kh730x887x2awymn2acrmmm74h83k4j5</t>
        </is>
      </c>
      <c r="L74" s="21" t="n"/>
      <c r="M74" s="21" t="n"/>
      <c r="N74" s="21" t="n"/>
      <c r="O74" s="21" t="n"/>
      <c r="P74" s="26" t="inlineStr">
        <is>
          <t>Yes</t>
        </is>
      </c>
      <c r="Q74" s="22" t="inlineStr">
        <is>
          <t>https://cdn.sanity.io/images/gh97irjh/production/bdbc6b9d5a7e5399d600dc475d45f4ebee89c493-4044x4508.jpg</t>
        </is>
      </c>
      <c r="R74" s="21" t="n">
        <v>1</v>
      </c>
      <c r="S74" s="21" t="n">
        <v>0.4</v>
      </c>
      <c r="T74" s="21" t="n">
        <v>0.4</v>
      </c>
      <c r="U74" s="21" t="n"/>
      <c r="V74" s="21" t="n"/>
      <c r="W74" s="21" t="n"/>
      <c r="X74" s="21" t="n"/>
    </row>
    <row r="75" ht="15" customHeight="1" s="19">
      <c r="A75" s="24" t="n">
        <v>74</v>
      </c>
      <c r="B75" s="24" t="inlineStr">
        <is>
          <t>Cylinder</t>
        </is>
      </c>
      <c r="C75" s="24" t="n">
        <v>9</v>
      </c>
      <c r="D75" s="24" t="inlineStr">
        <is>
          <t>Clear</t>
        </is>
      </c>
      <c r="E75" s="24" t="inlineStr">
        <is>
          <t>Fine Mist Sprayer</t>
        </is>
      </c>
      <c r="F75" s="24" t="inlineStr">
        <is>
          <t>17-415</t>
        </is>
      </c>
      <c r="G75" s="24" t="inlineStr">
        <is>
          <t>9 ml Clear Cylinder Fine Mist Spray Bottle</t>
        </is>
      </c>
      <c r="H75" s="24" t="inlineStr">
        <is>
          <t>Glass Bottle</t>
        </is>
      </c>
      <c r="I75" s="24" t="inlineStr">
        <is>
          <t>Cylinder</t>
        </is>
      </c>
      <c r="J75" s="24" t="inlineStr">
        <is>
          <t>cylinder-9ml-clear-17-415-finemist</t>
        </is>
      </c>
      <c r="K75" s="24" t="inlineStr">
        <is>
          <t>kh7dgg57vqqvc7wj2ew75ba3bd83kve2</t>
        </is>
      </c>
      <c r="L75" s="24" t="inlineStr">
        <is>
          <t>GB-CYL-CLR-9ML-T-21</t>
        </is>
      </c>
      <c r="M75" s="24" t="inlineStr">
        <is>
          <t>GBCyl9SpryBlk</t>
        </is>
      </c>
      <c r="N75" s="24" t="inlineStr">
        <is>
          <t>GBCyl9SpryBlk</t>
        </is>
      </c>
      <c r="O75" s="25" t="inlineStr">
        <is>
          <t>https://www.bestbottles.com/product/cylinder-design-9-ml-clear-glass-bottle-sprayer-black-trim-and-cap</t>
        </is>
      </c>
      <c r="P75" s="26" t="inlineStr">
        <is>
          <t>Yes</t>
        </is>
      </c>
      <c r="Q75" s="25" t="inlineStr">
        <is>
          <t>https://cdn.sanity.io/images/gh97irjh/production/d53c8240a619d5c8dc4dfccfc908051ab7333c4f-928x1152.jpg</t>
        </is>
      </c>
      <c r="R75" s="24" t="n">
        <v>6</v>
      </c>
      <c r="S75" s="24" t="n">
        <v>0.88</v>
      </c>
      <c r="T75" s="24" t="n">
        <v>0.88</v>
      </c>
      <c r="U75" s="24" t="n"/>
      <c r="V75" s="24" t="n"/>
      <c r="W75" s="24" t="n"/>
      <c r="X75" s="24" t="n"/>
    </row>
    <row r="76" ht="15" customHeight="1" s="19">
      <c r="A76" s="21" t="n">
        <v>75</v>
      </c>
      <c r="B76" s="21" t="inlineStr">
        <is>
          <t>Cylinder</t>
        </is>
      </c>
      <c r="C76" s="21" t="n">
        <v>9</v>
      </c>
      <c r="D76" s="21" t="inlineStr">
        <is>
          <t>Clear</t>
        </is>
      </c>
      <c r="E76" s="21" t="inlineStr">
        <is>
          <t>Fine Mist Sprayer</t>
        </is>
      </c>
      <c r="F76" s="21" t="inlineStr">
        <is>
          <t>13-415</t>
        </is>
      </c>
      <c r="G76" s="21" t="inlineStr">
        <is>
          <t>9 ml Clear Cylinder Fine Mist Spray Bottle</t>
        </is>
      </c>
      <c r="H76" s="21" t="inlineStr">
        <is>
          <t>Glass Bottle</t>
        </is>
      </c>
      <c r="I76" s="21" t="inlineStr">
        <is>
          <t>Cylinder</t>
        </is>
      </c>
      <c r="J76" s="21" t="inlineStr">
        <is>
          <t>cylinder-9ml-clear-13-415-finemist</t>
        </is>
      </c>
      <c r="K76" s="21" t="inlineStr">
        <is>
          <t>kh75e610bq9vhdgxjgt5dhtak583k193</t>
        </is>
      </c>
      <c r="L76" s="21" t="inlineStr">
        <is>
          <t>GB-CYL-CLR-9ML-SPR-MBLK</t>
        </is>
      </c>
      <c r="M76" s="21" t="inlineStr">
        <is>
          <t>GBTallCyl9SpryBlkMatt</t>
        </is>
      </c>
      <c r="N76" s="21" t="inlineStr">
        <is>
          <t>GBTallCyl9SpryBlkMatt</t>
        </is>
      </c>
      <c r="O76" s="22" t="inlineStr">
        <is>
          <t>https://www.bestbottles.com/product/tall-cylinder-design-9-ml-glass-bottle-matte-black-spray</t>
        </is>
      </c>
      <c r="P76" s="26" t="inlineStr">
        <is>
          <t>Yes</t>
        </is>
      </c>
      <c r="Q76" s="22" t="inlineStr">
        <is>
          <t>https://cdn.sanity.io/images/gh97irjh/production/5fefa60174c6e64ab8ac00e4fb7c6aaabdf57c91-2000x2200.png</t>
        </is>
      </c>
      <c r="R76" s="21" t="n">
        <v>8</v>
      </c>
      <c r="S76" s="21" t="n">
        <v>1.2</v>
      </c>
      <c r="T76" s="21" t="n">
        <v>1.2</v>
      </c>
      <c r="U76" s="21" t="n"/>
      <c r="V76" s="21" t="n"/>
      <c r="W76" s="21" t="n"/>
      <c r="X76" s="21" t="n"/>
    </row>
    <row r="77" ht="15" customHeight="1" s="19">
      <c r="A77" s="24" t="n">
        <v>76</v>
      </c>
      <c r="B77" s="24" t="inlineStr">
        <is>
          <t>Cylinder</t>
        </is>
      </c>
      <c r="C77" s="24" t="n">
        <v>9</v>
      </c>
      <c r="D77" s="24" t="inlineStr">
        <is>
          <t>Clear</t>
        </is>
      </c>
      <c r="E77" s="24" t="inlineStr">
        <is>
          <t>Lotion Pump</t>
        </is>
      </c>
      <c r="F77" s="24" t="inlineStr">
        <is>
          <t>17-415</t>
        </is>
      </c>
      <c r="G77" s="24" t="inlineStr">
        <is>
          <t>9 ml Clear Cylinder Lotion Pump Bottle</t>
        </is>
      </c>
      <c r="H77" s="24" t="inlineStr">
        <is>
          <t>Glass Bottle</t>
        </is>
      </c>
      <c r="I77" s="24" t="inlineStr">
        <is>
          <t>Cylinder</t>
        </is>
      </c>
      <c r="J77" s="24" t="inlineStr">
        <is>
          <t>cylinder-9ml-clear-17-415-lotionpump</t>
        </is>
      </c>
      <c r="K77" s="24" t="inlineStr">
        <is>
          <t>kh78q1vmcwf4qgjbsy163ef71s83jdnj</t>
        </is>
      </c>
      <c r="L77" s="24" t="inlineStr">
        <is>
          <t>LB-CYL-CLR-9ML-T-03</t>
        </is>
      </c>
      <c r="M77" s="24" t="inlineStr">
        <is>
          <t>LBCyl9LtnMtSl</t>
        </is>
      </c>
      <c r="N77" s="24" t="inlineStr">
        <is>
          <t>LBCyl9LtnMtSl, LBCyl9LtnGl</t>
        </is>
      </c>
      <c r="O77" s="25" t="inlineStr">
        <is>
          <t>https://www.bestbottles.com/product/cylinder-design-9-ml-clear-glass-bottle-lotion-pump-matte-silver-trim-cap</t>
        </is>
      </c>
      <c r="P77" s="26" t="inlineStr">
        <is>
          <t>Yes</t>
        </is>
      </c>
      <c r="Q77" s="25" t="inlineStr">
        <is>
          <t>https://cdn.sanity.io/images/gh97irjh/production/b502e0a0c4c545da3222d8331bc5da11a68b8827-928x1152.jpg</t>
        </is>
      </c>
      <c r="R77" s="24" t="n">
        <v>3</v>
      </c>
      <c r="S77" s="24" t="n">
        <v>0.88</v>
      </c>
      <c r="T77" s="24" t="n">
        <v>0.88</v>
      </c>
      <c r="U77" s="24" t="n"/>
      <c r="V77" s="24" t="n"/>
      <c r="W77" s="24" t="n"/>
      <c r="X77" s="24" t="n"/>
    </row>
    <row r="78" ht="15" customHeight="1" s="19">
      <c r="A78" s="21" t="n">
        <v>77</v>
      </c>
      <c r="B78" s="21" t="inlineStr">
        <is>
          <t>Cylinder</t>
        </is>
      </c>
      <c r="C78" s="21" t="n">
        <v>9</v>
      </c>
      <c r="D78" s="21" t="inlineStr">
        <is>
          <t>Clear</t>
        </is>
      </c>
      <c r="E78" s="21" t="inlineStr">
        <is>
          <t>Metal Roller Ball</t>
        </is>
      </c>
      <c r="F78" s="21" t="inlineStr">
        <is>
          <t>17-415</t>
        </is>
      </c>
      <c r="G78" s="21" t="inlineStr">
        <is>
          <t>9 ml Clear Cylinder Roll-On Bottle</t>
        </is>
      </c>
      <c r="H78" s="21" t="inlineStr">
        <is>
          <t>Glass Bottle</t>
        </is>
      </c>
      <c r="I78" s="21" t="inlineStr">
        <is>
          <t>Cylinder</t>
        </is>
      </c>
      <c r="J78" s="21" t="inlineStr">
        <is>
          <t>cylinder-9ml-clear-17-415-rollon</t>
        </is>
      </c>
      <c r="K78" s="21" t="inlineStr">
        <is>
          <t>kh70dybf6wqhct0knq6qx9dnbs83k26j</t>
        </is>
      </c>
      <c r="L78" s="21" t="n"/>
      <c r="M78" s="21" t="n"/>
      <c r="N78" s="21" t="n"/>
      <c r="O78" s="21" t="n"/>
      <c r="P78" s="26" t="inlineStr">
        <is>
          <t>Yes</t>
        </is>
      </c>
      <c r="Q78" s="22" t="inlineStr">
        <is>
          <t>https://cdn.sanity.io/images/gh97irjh/production/60e39660fa473284f9db92e07cbdb51022438b3e-4297x4297.jpg</t>
        </is>
      </c>
      <c r="R78" s="21" t="n">
        <v>20</v>
      </c>
      <c r="S78" s="21" t="n">
        <v>0.55</v>
      </c>
      <c r="T78" s="21" t="n">
        <v>0.8</v>
      </c>
      <c r="U78" s="21" t="n"/>
      <c r="V78" s="21" t="n"/>
      <c r="W78" s="21" t="n"/>
      <c r="X78" s="21" t="n"/>
    </row>
    <row r="79" ht="15" customHeight="1" s="19">
      <c r="A79" s="24" t="n">
        <v>78</v>
      </c>
      <c r="B79" s="24" t="inlineStr">
        <is>
          <t>Cylinder</t>
        </is>
      </c>
      <c r="C79" s="24" t="n">
        <v>9</v>
      </c>
      <c r="D79" s="24" t="inlineStr">
        <is>
          <t>Clear</t>
        </is>
      </c>
      <c r="E79" s="24" t="inlineStr">
        <is>
          <t>Metal Roller Ball</t>
        </is>
      </c>
      <c r="F79" s="24" t="inlineStr">
        <is>
          <t>13-415</t>
        </is>
      </c>
      <c r="G79" s="24" t="inlineStr">
        <is>
          <t>9 ml Clear Cylinder Roll-On Bottle</t>
        </is>
      </c>
      <c r="H79" s="24" t="inlineStr">
        <is>
          <t>Glass Bottle</t>
        </is>
      </c>
      <c r="I79" s="24" t="inlineStr">
        <is>
          <t>Cylinder</t>
        </is>
      </c>
      <c r="J79" s="24" t="inlineStr">
        <is>
          <t>cylinder-9ml-clear-13-415-rollon</t>
        </is>
      </c>
      <c r="K79" s="24" t="inlineStr">
        <is>
          <t>kh780vxgyah7gzk1j04zf0d40983kd13</t>
        </is>
      </c>
      <c r="L79" s="24" t="n"/>
      <c r="M79" s="24" t="n"/>
      <c r="N79" s="24" t="n"/>
      <c r="O79" s="24" t="n"/>
      <c r="P79" s="26" t="inlineStr">
        <is>
          <t>Yes</t>
        </is>
      </c>
      <c r="Q79" s="25" t="inlineStr">
        <is>
          <t>https://cdn.sanity.io/images/gh97irjh/production/60e39660fa473284f9db92e07cbdb51022438b3e-4297x4297.jpg</t>
        </is>
      </c>
      <c r="R79" s="24" t="n">
        <v>18</v>
      </c>
      <c r="S79" s="24" t="n">
        <v>0.97</v>
      </c>
      <c r="T79" s="24" t="n">
        <v>1.12</v>
      </c>
      <c r="U79" s="24" t="n"/>
      <c r="V79" s="24" t="n"/>
      <c r="W79" s="24" t="n"/>
      <c r="X79" s="24" t="n"/>
    </row>
    <row r="80" ht="15" customHeight="1" s="19">
      <c r="A80" s="21" t="n">
        <v>79</v>
      </c>
      <c r="B80" s="21" t="inlineStr">
        <is>
          <t>Cylinder</t>
        </is>
      </c>
      <c r="C80" s="21" t="n">
        <v>9</v>
      </c>
      <c r="D80" s="21" t="inlineStr">
        <is>
          <t>Cobalt Blue</t>
        </is>
      </c>
      <c r="E80" s="21" t="inlineStr">
        <is>
          <t>Fine Mist Sprayer</t>
        </is>
      </c>
      <c r="F80" s="21" t="inlineStr">
        <is>
          <t>17-415</t>
        </is>
      </c>
      <c r="G80" s="21" t="inlineStr">
        <is>
          <t>9 ml Cobalt Blue Cylinder Fine Mist Spray Bottle</t>
        </is>
      </c>
      <c r="H80" s="21" t="inlineStr">
        <is>
          <t>Glass Bottle</t>
        </is>
      </c>
      <c r="I80" s="21" t="inlineStr">
        <is>
          <t>Cylinder</t>
        </is>
      </c>
      <c r="J80" s="21" t="inlineStr">
        <is>
          <t>cylinder-9ml-cobalt-blue-17-415-finemist</t>
        </is>
      </c>
      <c r="K80" s="21" t="inlineStr">
        <is>
          <t>kh709em25pfgg2qdgrg23mq6w183kq9q</t>
        </is>
      </c>
      <c r="L80" s="21" t="inlineStr">
        <is>
          <t>GB-CYL-BLU-9ML-SPR-BLK</t>
        </is>
      </c>
      <c r="M80" s="21" t="inlineStr">
        <is>
          <t>GBCylBlu9SpryBlk</t>
        </is>
      </c>
      <c r="N80" s="21" t="inlineStr">
        <is>
          <t>GBCylBlu9SpryBlk</t>
        </is>
      </c>
      <c r="O80" s="22" t="inlineStr">
        <is>
          <t>https://www.bestbottles.com/product/cylinder-design-9-ml-cobalt-blue-glass-bottle-sprayer-black-trim-and-cap</t>
        </is>
      </c>
      <c r="P80" s="26" t="inlineStr">
        <is>
          <t>Yes</t>
        </is>
      </c>
      <c r="Q80" s="22" t="inlineStr">
        <is>
          <t>https://cdn.sanity.io/images/gh97irjh/production/874cd0656be404aa1a1b66b1665d565d0a78395e-928x1152.jpg</t>
        </is>
      </c>
      <c r="R80" s="21" t="n">
        <v>6</v>
      </c>
      <c r="S80" s="21" t="n">
        <v>0.93</v>
      </c>
      <c r="T80" s="21" t="n">
        <v>0.93</v>
      </c>
      <c r="U80" s="21" t="n"/>
      <c r="V80" s="21" t="n"/>
      <c r="W80" s="21" t="n"/>
      <c r="X80" s="21" t="n"/>
    </row>
    <row r="81" ht="15" customHeight="1" s="19">
      <c r="A81" s="24" t="n">
        <v>80</v>
      </c>
      <c r="B81" s="24" t="inlineStr">
        <is>
          <t>Cylinder</t>
        </is>
      </c>
      <c r="C81" s="24" t="n">
        <v>9</v>
      </c>
      <c r="D81" s="24" t="inlineStr">
        <is>
          <t>Cobalt Blue</t>
        </is>
      </c>
      <c r="E81" s="24" t="inlineStr">
        <is>
          <t>Lotion Pump</t>
        </is>
      </c>
      <c r="F81" s="24" t="inlineStr">
        <is>
          <t>17-415</t>
        </is>
      </c>
      <c r="G81" s="24" t="inlineStr">
        <is>
          <t>9 ml Cobalt Blue Cylinder Lotion Pump Bottle</t>
        </is>
      </c>
      <c r="H81" s="24" t="inlineStr">
        <is>
          <t>Glass Bottle</t>
        </is>
      </c>
      <c r="I81" s="24" t="inlineStr">
        <is>
          <t>Cylinder</t>
        </is>
      </c>
      <c r="J81" s="24" t="inlineStr">
        <is>
          <t>cylinder-9ml-cobalt-blue-17-415-lotionpump</t>
        </is>
      </c>
      <c r="K81" s="24" t="inlineStr">
        <is>
          <t>kh77bgmyh8589854c7bq30jmyd83j5nx</t>
        </is>
      </c>
      <c r="L81" s="24" t="inlineStr">
        <is>
          <t>LB-CYL-BLU-9ML-LPM-MSLV</t>
        </is>
      </c>
      <c r="M81" s="24" t="inlineStr">
        <is>
          <t>LBCylBlu9LtnMattSl</t>
        </is>
      </c>
      <c r="N81" s="24" t="inlineStr">
        <is>
          <t>LBCylBlu9LtnMattSl, LBCylBlu9LtnGl</t>
        </is>
      </c>
      <c r="O81" s="25" t="inlineStr">
        <is>
          <t>https://www.bestbottles.com/product/cylinder-design-9-ml-cobalt-blue-glass-bottle-lotion-pump-matte-silver-trim-cap</t>
        </is>
      </c>
      <c r="P81" s="26" t="inlineStr">
        <is>
          <t>Yes</t>
        </is>
      </c>
      <c r="Q81" s="25" t="inlineStr">
        <is>
          <t>https://cdn.sanity.io/images/gh97irjh/production/f44cb4bd9af5de73a98d948ddc82bc2de0057b96-928x1152.jpg</t>
        </is>
      </c>
      <c r="R81" s="24" t="n">
        <v>3</v>
      </c>
      <c r="S81" s="24" t="n">
        <v>0.93</v>
      </c>
      <c r="T81" s="24" t="n">
        <v>0.93</v>
      </c>
      <c r="U81" s="24" t="n"/>
      <c r="V81" s="24" t="n"/>
      <c r="W81" s="24" t="n"/>
      <c r="X81" s="24" t="n"/>
    </row>
    <row r="82" ht="15" customHeight="1" s="19">
      <c r="A82" s="21" t="n">
        <v>81</v>
      </c>
      <c r="B82" s="21" t="inlineStr">
        <is>
          <t>Cylinder</t>
        </is>
      </c>
      <c r="C82" s="21" t="n">
        <v>9</v>
      </c>
      <c r="D82" s="21" t="inlineStr">
        <is>
          <t>Cobalt Blue</t>
        </is>
      </c>
      <c r="E82" s="21" t="inlineStr">
        <is>
          <t>Metal Roller Ball</t>
        </is>
      </c>
      <c r="F82" s="21" t="inlineStr">
        <is>
          <t>17-415</t>
        </is>
      </c>
      <c r="G82" s="21" t="inlineStr">
        <is>
          <t>9 ml Cobalt Blue Cylinder Roll-On Bottle</t>
        </is>
      </c>
      <c r="H82" s="21" t="inlineStr">
        <is>
          <t>Glass Bottle</t>
        </is>
      </c>
      <c r="I82" s="21" t="inlineStr">
        <is>
          <t>Cylinder</t>
        </is>
      </c>
      <c r="J82" s="21" t="inlineStr">
        <is>
          <t>cylinder-9ml-cobalt-blue-17-415-rollon</t>
        </is>
      </c>
      <c r="K82" s="21" t="inlineStr">
        <is>
          <t>kh78wxygfm9p26dkth0mysyrsd83jwza</t>
        </is>
      </c>
      <c r="L82" s="21" t="n"/>
      <c r="M82" s="21" t="n"/>
      <c r="N82" s="21" t="n"/>
      <c r="O82" s="21" t="n"/>
      <c r="P82" s="26" t="inlineStr">
        <is>
          <t>Yes</t>
        </is>
      </c>
      <c r="Q82" s="22" t="inlineStr">
        <is>
          <t>https://cdn.sanity.io/images/gh97irjh/production/48bc5a915e324a3a9c504e2849053094ad9f9070-4297x4297.jpg</t>
        </is>
      </c>
      <c r="R82" s="21" t="n">
        <v>20</v>
      </c>
      <c r="S82" s="21" t="n">
        <v>0.6</v>
      </c>
      <c r="T82" s="21" t="n">
        <v>0.85</v>
      </c>
      <c r="U82" s="21" t="n"/>
      <c r="V82" s="21" t="n"/>
      <c r="W82" s="21" t="n"/>
      <c r="X82" s="21" t="n"/>
    </row>
    <row r="83" ht="15" customHeight="1" s="19">
      <c r="A83" s="24" t="n">
        <v>82</v>
      </c>
      <c r="B83" s="24" t="inlineStr">
        <is>
          <t>Cylinder</t>
        </is>
      </c>
      <c r="C83" s="24" t="n">
        <v>9</v>
      </c>
      <c r="D83" s="24" t="inlineStr">
        <is>
          <t>Frosted</t>
        </is>
      </c>
      <c r="E83" s="24" t="inlineStr">
        <is>
          <t>Cap/Closure</t>
        </is>
      </c>
      <c r="F83" s="24" t="inlineStr">
        <is>
          <t>13-415</t>
        </is>
      </c>
      <c r="G83" s="24" t="inlineStr">
        <is>
          <t>9 ml Frosted Cylinder Bottle with Cap</t>
        </is>
      </c>
      <c r="H83" s="24" t="inlineStr">
        <is>
          <t>Glass Bottle</t>
        </is>
      </c>
      <c r="I83" s="24" t="inlineStr">
        <is>
          <t>Cylinder</t>
        </is>
      </c>
      <c r="J83" s="24" t="inlineStr">
        <is>
          <t>cylinder-9ml-frosted-13-415</t>
        </is>
      </c>
      <c r="K83" s="24" t="inlineStr">
        <is>
          <t>kh7d62fd5rpkg5a4a8k8qyp1s183kbpp</t>
        </is>
      </c>
      <c r="L83" s="24" t="inlineStr">
        <is>
          <t>GB-CYL-FRS-9ML-S-02</t>
        </is>
      </c>
      <c r="M83" s="24" t="inlineStr">
        <is>
          <t>GBTallCylFrst9WhtSht</t>
        </is>
      </c>
      <c r="N83" s="24" t="inlineStr">
        <is>
          <t>GBTallCylFrst9WhtSht, GBTallCylFrst9Gl, GBTallCylFrst9Sl</t>
        </is>
      </c>
      <c r="O83" s="25" t="inlineStr">
        <is>
          <t>https://www.bestbottles.com/product/tall-cylinder-design-9-ml-frosted-glass-bottle-short-white-cap</t>
        </is>
      </c>
      <c r="P83" s="26" t="inlineStr">
        <is>
          <t>Yes</t>
        </is>
      </c>
      <c r="Q83" s="25" t="inlineStr">
        <is>
          <t>https://cdn.sanity.io/images/gh97irjh/production/64ad904969b3a317e9e4e7955576241cf70523a1-2000x2200.png</t>
        </is>
      </c>
      <c r="R83" s="24" t="n">
        <v>4</v>
      </c>
      <c r="S83" s="24" t="n">
        <v>0.87</v>
      </c>
      <c r="T83" s="24" t="n">
        <v>1.05</v>
      </c>
      <c r="U83" s="24" t="n"/>
      <c r="V83" s="24" t="n"/>
      <c r="W83" s="24" t="n"/>
      <c r="X83" s="24" t="n"/>
    </row>
    <row r="84" ht="15" customHeight="1" s="19">
      <c r="A84" s="21" t="n">
        <v>83</v>
      </c>
      <c r="B84" s="21" t="inlineStr">
        <is>
          <t>Cylinder</t>
        </is>
      </c>
      <c r="C84" s="21" t="n">
        <v>9</v>
      </c>
      <c r="D84" s="21" t="inlineStr">
        <is>
          <t>Frosted</t>
        </is>
      </c>
      <c r="E84" s="21" t="inlineStr">
        <is>
          <t>Fine Mist Sprayer</t>
        </is>
      </c>
      <c r="F84" s="21" t="inlineStr">
        <is>
          <t>17-415</t>
        </is>
      </c>
      <c r="G84" s="21" t="inlineStr">
        <is>
          <t>9 ml Frosted Cylinder Fine Mist Spray Bottle</t>
        </is>
      </c>
      <c r="H84" s="21" t="inlineStr">
        <is>
          <t>Glass Bottle</t>
        </is>
      </c>
      <c r="I84" s="21" t="inlineStr">
        <is>
          <t>Cylinder</t>
        </is>
      </c>
      <c r="J84" s="21" t="inlineStr">
        <is>
          <t>cylinder-9ml-frosted-17-415-finemist</t>
        </is>
      </c>
      <c r="K84" s="21" t="inlineStr">
        <is>
          <t>kh7dqmarbhw0s0nm6an7s8rhj183ja9q</t>
        </is>
      </c>
      <c r="L84" s="21" t="inlineStr">
        <is>
          <t>GB-CYL-FRS-9ML-SPR-BLK</t>
        </is>
      </c>
      <c r="M84" s="21" t="inlineStr">
        <is>
          <t>GBCylFrst9SpryBlk</t>
        </is>
      </c>
      <c r="N84" s="21" t="inlineStr">
        <is>
          <t>GBCylFrst9SpryBlk</t>
        </is>
      </c>
      <c r="O84" s="22" t="inlineStr">
        <is>
          <t>https://www.bestbottles.com/product/cylinder-design-9-ml-frosted-glass-bottle-sprayer-black-trim-and-cap</t>
        </is>
      </c>
      <c r="P84" s="26" t="inlineStr">
        <is>
          <t>Yes</t>
        </is>
      </c>
      <c r="Q84" s="22" t="inlineStr">
        <is>
          <t>https://cdn.sanity.io/images/gh97irjh/production/a1a2d3ade6709cfc8a79f27ed93ad32368b1893d-928x1152.jpg</t>
        </is>
      </c>
      <c r="R84" s="21" t="n">
        <v>6</v>
      </c>
      <c r="S84" s="21" t="n">
        <v>0.98</v>
      </c>
      <c r="T84" s="21" t="n">
        <v>0.98</v>
      </c>
      <c r="U84" s="21" t="n"/>
      <c r="V84" s="21" t="n"/>
      <c r="W84" s="21" t="n"/>
      <c r="X84" s="21" t="n"/>
    </row>
    <row r="85" ht="15" customHeight="1" s="19">
      <c r="A85" s="24" t="n">
        <v>84</v>
      </c>
      <c r="B85" s="24" t="inlineStr">
        <is>
          <t>Cylinder</t>
        </is>
      </c>
      <c r="C85" s="24" t="n">
        <v>9</v>
      </c>
      <c r="D85" s="24" t="inlineStr">
        <is>
          <t>Frosted</t>
        </is>
      </c>
      <c r="E85" s="24" t="inlineStr">
        <is>
          <t>Fine Mist Sprayer</t>
        </is>
      </c>
      <c r="F85" s="24" t="inlineStr">
        <is>
          <t>13-415</t>
        </is>
      </c>
      <c r="G85" s="24" t="inlineStr">
        <is>
          <t>9 ml Frosted Cylinder Fine Mist Spray Bottle</t>
        </is>
      </c>
      <c r="H85" s="24" t="inlineStr">
        <is>
          <t>Glass Bottle</t>
        </is>
      </c>
      <c r="I85" s="24" t="inlineStr">
        <is>
          <t>Cylinder</t>
        </is>
      </c>
      <c r="J85" s="24" t="inlineStr">
        <is>
          <t>cylinder-9ml-frosted-13-415-finemist</t>
        </is>
      </c>
      <c r="K85" s="24" t="inlineStr">
        <is>
          <t>kh77dzgck1gp6j4cytxact235s83jmkj</t>
        </is>
      </c>
      <c r="L85" s="24" t="inlineStr">
        <is>
          <t>GB-CYL-FRS-9ML-01</t>
        </is>
      </c>
      <c r="M85" s="24" t="inlineStr">
        <is>
          <t>GBTallCylFrst9SpryBlkMatt</t>
        </is>
      </c>
      <c r="N85" s="24" t="inlineStr">
        <is>
          <t>GBTallCylFrst9SpryBlkMatt</t>
        </is>
      </c>
      <c r="O85" s="25" t="inlineStr">
        <is>
          <t>https://www.bestbottles.com/product/tall-cylinder-design-9-ml-frosted-glass-bottle-matte-black-spray</t>
        </is>
      </c>
      <c r="P85" s="26" t="inlineStr">
        <is>
          <t>Yes</t>
        </is>
      </c>
      <c r="Q85" s="25" t="inlineStr">
        <is>
          <t>https://cdn.sanity.io/images/gh97irjh/production/64ad904969b3a317e9e4e7955576241cf70523a1-2000x2200.png</t>
        </is>
      </c>
      <c r="R85" s="24" t="n">
        <v>8</v>
      </c>
      <c r="S85" s="24" t="n">
        <v>1.4</v>
      </c>
      <c r="T85" s="24" t="n">
        <v>1.4</v>
      </c>
      <c r="U85" s="24" t="n"/>
      <c r="V85" s="24" t="n"/>
      <c r="W85" s="24" t="n"/>
      <c r="X85" s="24" t="n"/>
    </row>
    <row r="86" ht="15" customHeight="1" s="19">
      <c r="A86" s="21" t="n">
        <v>85</v>
      </c>
      <c r="B86" s="21" t="inlineStr">
        <is>
          <t>Cylinder</t>
        </is>
      </c>
      <c r="C86" s="21" t="n">
        <v>9</v>
      </c>
      <c r="D86" s="21" t="inlineStr">
        <is>
          <t>Frosted</t>
        </is>
      </c>
      <c r="E86" s="21" t="inlineStr">
        <is>
          <t>Lotion Pump</t>
        </is>
      </c>
      <c r="F86" s="21" t="inlineStr">
        <is>
          <t>17-415</t>
        </is>
      </c>
      <c r="G86" s="21" t="inlineStr">
        <is>
          <t>9 ml Frosted Cylinder Lotion Pump Bottle</t>
        </is>
      </c>
      <c r="H86" s="21" t="inlineStr">
        <is>
          <t>Glass Bottle</t>
        </is>
      </c>
      <c r="I86" s="21" t="inlineStr">
        <is>
          <t>Cylinder</t>
        </is>
      </c>
      <c r="J86" s="21" t="inlineStr">
        <is>
          <t>cylinder-9ml-frosted-17-415-lotionpump</t>
        </is>
      </c>
      <c r="K86" s="21" t="inlineStr">
        <is>
          <t>kh7ccv36p9b0p8h9pdr93dd27s83kckg</t>
        </is>
      </c>
      <c r="L86" s="21" t="inlineStr">
        <is>
          <t>LB-CYL-FRS-9ML-LPM-MSLV</t>
        </is>
      </c>
      <c r="M86" s="21" t="inlineStr">
        <is>
          <t>LBCylFrst9LtnMtSl</t>
        </is>
      </c>
      <c r="N86" s="21" t="inlineStr">
        <is>
          <t>LBCylFrst9LtnMtSl, LBCylFrst9LtnGl</t>
        </is>
      </c>
      <c r="O86" s="22" t="inlineStr">
        <is>
          <t>https://www.bestbottles.com/product/cylinder-design-9-ml-frosted-glass-bottle-lotion-pump-matte-silver-trim-cap</t>
        </is>
      </c>
      <c r="P86" s="26" t="inlineStr">
        <is>
          <t>Yes</t>
        </is>
      </c>
      <c r="Q86" s="22" t="inlineStr">
        <is>
          <t>https://cdn.sanity.io/images/gh97irjh/production/a02555f519cda27b6684db6ea5a3774348c2b623-928x1152.jpg</t>
        </is>
      </c>
      <c r="R86" s="21" t="n">
        <v>3</v>
      </c>
      <c r="S86" s="21" t="n">
        <v>0.98</v>
      </c>
      <c r="T86" s="21" t="n">
        <v>0.98</v>
      </c>
      <c r="U86" s="21" t="n"/>
      <c r="V86" s="21" t="n"/>
      <c r="W86" s="21" t="n"/>
      <c r="X86" s="21" t="n"/>
    </row>
    <row r="87" ht="15" customHeight="1" s="19">
      <c r="A87" s="24" t="n">
        <v>86</v>
      </c>
      <c r="B87" s="24" t="inlineStr">
        <is>
          <t>Cylinder</t>
        </is>
      </c>
      <c r="C87" s="24" t="n">
        <v>9</v>
      </c>
      <c r="D87" s="24" t="inlineStr">
        <is>
          <t>Frosted</t>
        </is>
      </c>
      <c r="E87" s="24" t="inlineStr">
        <is>
          <t>Metal Roller Ball</t>
        </is>
      </c>
      <c r="F87" s="24" t="inlineStr">
        <is>
          <t>17-415</t>
        </is>
      </c>
      <c r="G87" s="24" t="inlineStr">
        <is>
          <t>9 ml Frosted Cylinder Roll-On Bottle</t>
        </is>
      </c>
      <c r="H87" s="24" t="inlineStr">
        <is>
          <t>Glass Bottle</t>
        </is>
      </c>
      <c r="I87" s="24" t="inlineStr">
        <is>
          <t>Cylinder</t>
        </is>
      </c>
      <c r="J87" s="24" t="inlineStr">
        <is>
          <t>cylinder-9ml-frosted-17-415-rollon</t>
        </is>
      </c>
      <c r="K87" s="24" t="inlineStr">
        <is>
          <t>kh78nwhzjf4m5wdtatt5ecaa2583js72</t>
        </is>
      </c>
      <c r="L87" s="24" t="n"/>
      <c r="M87" s="24" t="n"/>
      <c r="N87" s="24" t="n"/>
      <c r="O87" s="24" t="n"/>
      <c r="P87" s="26" t="inlineStr">
        <is>
          <t>Yes</t>
        </is>
      </c>
      <c r="Q87" s="25" t="inlineStr">
        <is>
          <t>https://cdn.sanity.io/images/gh97irjh/production/176b1d825d40e35b52afb26fcf214cda77e1404b-4297x4297.jpg</t>
        </is>
      </c>
      <c r="R87" s="24" t="n">
        <v>20</v>
      </c>
      <c r="S87" s="24" t="n">
        <v>0.65</v>
      </c>
      <c r="T87" s="24" t="n">
        <v>0.9</v>
      </c>
      <c r="U87" s="24" t="n"/>
      <c r="V87" s="24" t="n"/>
      <c r="W87" s="24" t="n"/>
      <c r="X87" s="24" t="n"/>
    </row>
    <row r="88" ht="15" customHeight="1" s="19">
      <c r="A88" s="21" t="n">
        <v>87</v>
      </c>
      <c r="B88" s="21" t="inlineStr">
        <is>
          <t>Cylinder</t>
        </is>
      </c>
      <c r="C88" s="21" t="n">
        <v>9</v>
      </c>
      <c r="D88" s="21" t="inlineStr">
        <is>
          <t>Frosted</t>
        </is>
      </c>
      <c r="E88" s="21" t="inlineStr">
        <is>
          <t>Metal Roller Ball</t>
        </is>
      </c>
      <c r="F88" s="21" t="inlineStr">
        <is>
          <t>13-415</t>
        </is>
      </c>
      <c r="G88" s="21" t="inlineStr">
        <is>
          <t>9 ml Frosted Cylinder Roll-On Bottle</t>
        </is>
      </c>
      <c r="H88" s="21" t="inlineStr">
        <is>
          <t>Glass Bottle</t>
        </is>
      </c>
      <c r="I88" s="21" t="inlineStr">
        <is>
          <t>Cylinder</t>
        </is>
      </c>
      <c r="J88" s="21" t="inlineStr">
        <is>
          <t>cylinder-9ml-frosted-13-415-rollon</t>
        </is>
      </c>
      <c r="K88" s="21" t="inlineStr">
        <is>
          <t>kh7eq94chkvbz9qd5beffsw97983j28g</t>
        </is>
      </c>
      <c r="L88" s="21" t="n"/>
      <c r="M88" s="21" t="n"/>
      <c r="N88" s="21" t="n"/>
      <c r="O88" s="21" t="n"/>
      <c r="P88" s="26" t="inlineStr">
        <is>
          <t>Yes</t>
        </is>
      </c>
      <c r="Q88" s="22" t="inlineStr">
        <is>
          <t>https://cdn.sanity.io/images/gh97irjh/production/176b1d825d40e35b52afb26fcf214cda77e1404b-4297x4297.jpg</t>
        </is>
      </c>
      <c r="R88" s="21" t="n">
        <v>18</v>
      </c>
      <c r="S88" s="21" t="n">
        <v>1.17</v>
      </c>
      <c r="T88" s="21" t="n">
        <v>1.32</v>
      </c>
      <c r="U88" s="21" t="n"/>
      <c r="V88" s="21" t="n"/>
      <c r="W88" s="21" t="n"/>
      <c r="X88" s="21" t="n"/>
    </row>
    <row r="89" ht="15" customHeight="1" s="19">
      <c r="A89" s="24" t="n">
        <v>88</v>
      </c>
      <c r="B89" s="24" t="inlineStr">
        <is>
          <t>Cylinder</t>
        </is>
      </c>
      <c r="C89" s="24" t="n">
        <v>9</v>
      </c>
      <c r="D89" s="24" t="inlineStr">
        <is>
          <t>Swirl</t>
        </is>
      </c>
      <c r="E89" s="24" t="inlineStr">
        <is>
          <t>Fine Mist Sprayer</t>
        </is>
      </c>
      <c r="F89" s="24" t="inlineStr">
        <is>
          <t>17-415</t>
        </is>
      </c>
      <c r="G89" s="24" t="inlineStr">
        <is>
          <t>9 ml Swirl Cylinder Fine Mist Spray Bottle</t>
        </is>
      </c>
      <c r="H89" s="24" t="inlineStr">
        <is>
          <t>Glass Bottle</t>
        </is>
      </c>
      <c r="I89" s="24" t="inlineStr">
        <is>
          <t>Cylinder</t>
        </is>
      </c>
      <c r="J89" s="24" t="inlineStr">
        <is>
          <t>cylinder-9ml-swirl-17-415-finemist</t>
        </is>
      </c>
      <c r="K89" s="24" t="inlineStr">
        <is>
          <t>kh7cd2hzkgsqvcbpcc7zwa4xtx83k0ew</t>
        </is>
      </c>
      <c r="L89" s="24" t="n"/>
      <c r="M89" s="24" t="n"/>
      <c r="N89" s="24" t="n"/>
      <c r="O89" s="24" t="n"/>
      <c r="P89" s="26" t="inlineStr">
        <is>
          <t>Yes</t>
        </is>
      </c>
      <c r="Q89" s="25" t="inlineStr">
        <is>
          <t>https://cdn.sanity.io/images/gh97irjh/production/a772b6b0f0d585e7f05283c9e3b0a8ffa21697a5-928x1152.jpg</t>
        </is>
      </c>
      <c r="R89" s="24" t="n">
        <v>6</v>
      </c>
      <c r="S89" s="24" t="n">
        <v>1</v>
      </c>
      <c r="T89" s="24" t="n">
        <v>1</v>
      </c>
      <c r="U89" s="24" t="n"/>
      <c r="V89" s="24" t="n"/>
      <c r="W89" s="24" t="n"/>
      <c r="X89" s="24" t="n"/>
    </row>
    <row r="90" ht="15" customHeight="1" s="19">
      <c r="A90" s="21" t="n">
        <v>89</v>
      </c>
      <c r="B90" s="21" t="inlineStr">
        <is>
          <t>Cylinder</t>
        </is>
      </c>
      <c r="C90" s="21" t="n">
        <v>9</v>
      </c>
      <c r="D90" s="21" t="inlineStr">
        <is>
          <t>Swirl</t>
        </is>
      </c>
      <c r="E90" s="21" t="inlineStr">
        <is>
          <t>Lotion Pump</t>
        </is>
      </c>
      <c r="F90" s="21" t="inlineStr">
        <is>
          <t>17-415</t>
        </is>
      </c>
      <c r="G90" s="21" t="inlineStr">
        <is>
          <t>9 ml Swirl Cylinder Lotion Pump Bottle</t>
        </is>
      </c>
      <c r="H90" s="21" t="inlineStr">
        <is>
          <t>Glass Bottle</t>
        </is>
      </c>
      <c r="I90" s="21" t="inlineStr">
        <is>
          <t>Cylinder</t>
        </is>
      </c>
      <c r="J90" s="21" t="inlineStr">
        <is>
          <t>cylinder-9ml-swirl-17-415-lotionpump</t>
        </is>
      </c>
      <c r="K90" s="21" t="inlineStr">
        <is>
          <t>kh70anra8dh3rsy10xc4xk97en83ky66</t>
        </is>
      </c>
      <c r="L90" s="21" t="inlineStr">
        <is>
          <t>LB-CYL-CLR-9ML-LPM-MSLV</t>
        </is>
      </c>
      <c r="M90" s="21" t="inlineStr">
        <is>
          <t>LBCylSwrl9LtnMtSl</t>
        </is>
      </c>
      <c r="N90" s="21" t="inlineStr">
        <is>
          <t>LBCylSwrl9LtnMtSl, LBCylSwrl9LtnGl</t>
        </is>
      </c>
      <c r="O90" s="22" t="inlineStr">
        <is>
          <t>https://www.bestbottles.com/product/cylinder-design-9-ml-swirl-glass-bottle-lotion-pump-matte-silver-trim-cap</t>
        </is>
      </c>
      <c r="P90" s="26" t="inlineStr">
        <is>
          <t>Yes</t>
        </is>
      </c>
      <c r="Q90" s="22" t="inlineStr">
        <is>
          <t>https://cdn.sanity.io/images/gh97irjh/production/4a48ff8e4a4b587cd9412d95dea0336193d7b646-928x1152.jpg</t>
        </is>
      </c>
      <c r="R90" s="21" t="n">
        <v>3</v>
      </c>
      <c r="S90" s="21" t="n">
        <v>1</v>
      </c>
      <c r="T90" s="21" t="n">
        <v>1</v>
      </c>
      <c r="U90" s="21" t="n"/>
      <c r="V90" s="21" t="n"/>
      <c r="W90" s="21" t="n"/>
      <c r="X90" s="21" t="n"/>
    </row>
    <row r="91" ht="15" customHeight="1" s="19">
      <c r="A91" s="24" t="n">
        <v>90</v>
      </c>
      <c r="B91" s="24" t="inlineStr">
        <is>
          <t>Cylinder</t>
        </is>
      </c>
      <c r="C91" s="24" t="n">
        <v>9</v>
      </c>
      <c r="D91" s="24" t="inlineStr">
        <is>
          <t>Swirl</t>
        </is>
      </c>
      <c r="E91" s="24" t="inlineStr">
        <is>
          <t>Metal Roller Ball</t>
        </is>
      </c>
      <c r="F91" s="24" t="inlineStr">
        <is>
          <t>17-415</t>
        </is>
      </c>
      <c r="G91" s="24" t="inlineStr">
        <is>
          <t>9 ml Swirl Cylinder Roll-On Bottle</t>
        </is>
      </c>
      <c r="H91" s="24" t="inlineStr">
        <is>
          <t>Glass Bottle</t>
        </is>
      </c>
      <c r="I91" s="24" t="inlineStr">
        <is>
          <t>Cylinder</t>
        </is>
      </c>
      <c r="J91" s="24" t="inlineStr">
        <is>
          <t>cylinder-9ml-swirl-17-415-rollon</t>
        </is>
      </c>
      <c r="K91" s="24" t="inlineStr">
        <is>
          <t>kh7686s0ghx7999p36nq1n48es83js8f</t>
        </is>
      </c>
      <c r="L91" s="24" t="n"/>
      <c r="M91" s="24" t="n"/>
      <c r="N91" s="24" t="n"/>
      <c r="O91" s="24" t="n"/>
      <c r="P91" s="26" t="inlineStr">
        <is>
          <t>Yes</t>
        </is>
      </c>
      <c r="Q91" s="25" t="inlineStr">
        <is>
          <t>https://cdn.sanity.io/images/gh97irjh/production/7f624de8172648d0e81f40d70f495fd50a8b575e-4297x4297.jpg</t>
        </is>
      </c>
      <c r="R91" s="24" t="n">
        <v>18</v>
      </c>
      <c r="S91" s="24" t="n">
        <v>0.67</v>
      </c>
      <c r="T91" s="24" t="n">
        <v>0.92</v>
      </c>
      <c r="U91" s="24" t="n"/>
      <c r="V91" s="24" t="n"/>
      <c r="W91" s="24" t="n"/>
      <c r="X91" s="24" t="n"/>
    </row>
    <row r="92" ht="15" customHeight="1" s="19">
      <c r="A92" s="21" t="n">
        <v>91</v>
      </c>
      <c r="B92" s="21" t="inlineStr">
        <is>
          <t>Cylinder</t>
        </is>
      </c>
      <c r="C92" s="21" t="n">
        <v>25</v>
      </c>
      <c r="D92" s="21" t="inlineStr">
        <is>
          <t>Clear</t>
        </is>
      </c>
      <c r="E92" s="21" t="inlineStr">
        <is>
          <t>Lotion Pump</t>
        </is>
      </c>
      <c r="F92" s="21" t="inlineStr">
        <is>
          <t>18-415</t>
        </is>
      </c>
      <c r="G92" s="21" t="inlineStr">
        <is>
          <t>25 ml Clear Cylinder Lotion Pump Bottle</t>
        </is>
      </c>
      <c r="H92" s="21" t="inlineStr">
        <is>
          <t>Glass Bottle</t>
        </is>
      </c>
      <c r="I92" s="21" t="inlineStr">
        <is>
          <t>Cylinder</t>
        </is>
      </c>
      <c r="J92" s="21" t="inlineStr">
        <is>
          <t>cylinder-25ml-clear-18-415-lotionpump</t>
        </is>
      </c>
      <c r="K92" s="21" t="inlineStr">
        <is>
          <t>kh72m32yxw36j1znczznfkhb2583ja38</t>
        </is>
      </c>
      <c r="L92" s="21" t="inlineStr">
        <is>
          <t>LB-CYL-CLR-25ML-LPM-MGLD</t>
        </is>
      </c>
      <c r="M92" s="21" t="inlineStr">
        <is>
          <t>LBCyl25LtnMtGl</t>
        </is>
      </c>
      <c r="N92" s="21" t="inlineStr">
        <is>
          <t>LBCyl25LtnMtGl, LBCyl25LtnShnGl</t>
        </is>
      </c>
      <c r="O92" s="22" t="inlineStr">
        <is>
          <t>https://www.bestbottles.com/product/cylinder-design-25-ml-glass-bottle-matte-gold-lotion-pump-and-cap</t>
        </is>
      </c>
      <c r="P92" s="23" t="inlineStr">
        <is>
          <t>No</t>
        </is>
      </c>
      <c r="Q92" s="21" t="n"/>
      <c r="R92" s="21" t="n">
        <v>7</v>
      </c>
      <c r="S92" s="21" t="n">
        <v>2.5</v>
      </c>
      <c r="T92" s="21" t="n">
        <v>2.5</v>
      </c>
      <c r="U92" s="21" t="n"/>
      <c r="V92" s="21" t="n"/>
      <c r="W92" s="21" t="n"/>
      <c r="X92" s="21" t="n"/>
    </row>
    <row r="93" ht="15" customHeight="1" s="19">
      <c r="A93" s="24" t="n">
        <v>92</v>
      </c>
      <c r="B93" s="24" t="inlineStr">
        <is>
          <t>Cylinder</t>
        </is>
      </c>
      <c r="C93" s="24" t="n">
        <v>28</v>
      </c>
      <c r="D93" s="24" t="inlineStr">
        <is>
          <t>Clear</t>
        </is>
      </c>
      <c r="E93" s="24" t="inlineStr">
        <is>
          <t>Metal Roller Ball, Plastic Roller Ball</t>
        </is>
      </c>
      <c r="F93" s="24" t="inlineStr">
        <is>
          <t>16mm</t>
        </is>
      </c>
      <c r="G93" s="24" t="inlineStr">
        <is>
          <t>28 ml Clear Cylinder Roll-On Bottle</t>
        </is>
      </c>
      <c r="H93" s="24" t="inlineStr">
        <is>
          <t>Glass Bottle</t>
        </is>
      </c>
      <c r="I93" s="24" t="inlineStr">
        <is>
          <t>Cylinder</t>
        </is>
      </c>
      <c r="J93" s="24" t="inlineStr">
        <is>
          <t>cylinder-28ml-clear-16mm-rollon</t>
        </is>
      </c>
      <c r="K93" s="24" t="inlineStr">
        <is>
          <t>kh70vnzt7feanr9z0wwwdqk3dx83kt2c</t>
        </is>
      </c>
      <c r="L93" s="24" t="inlineStr">
        <is>
          <t>GB-CYL-CLR-28ML-MRL-02</t>
        </is>
      </c>
      <c r="M93" s="24" t="inlineStr">
        <is>
          <t>GBMtlRoll28Wht</t>
        </is>
      </c>
      <c r="N93" s="24" t="inlineStr">
        <is>
          <t>GBMtlRoll28Wht, GBCyl1ozRollWht</t>
        </is>
      </c>
      <c r="O93" s="25" t="inlineStr">
        <is>
          <t>https://www.bestbottles.com/product/cylinder-style-28-ml-glass-bottle-metal-roll-on-and-white-cap</t>
        </is>
      </c>
      <c r="P93" s="23" t="inlineStr">
        <is>
          <t>No</t>
        </is>
      </c>
      <c r="Q93" s="24" t="n"/>
      <c r="R93" s="24" t="n">
        <v>4</v>
      </c>
      <c r="S93" s="24" t="n">
        <v>0.85</v>
      </c>
      <c r="T93" s="24" t="n">
        <v>1.15</v>
      </c>
      <c r="U93" s="24" t="n"/>
      <c r="V93" s="24" t="n"/>
      <c r="W93" s="24" t="n"/>
      <c r="X93" s="24" t="n"/>
    </row>
    <row r="94" ht="15" customHeight="1" s="19">
      <c r="A94" s="21" t="n">
        <v>93</v>
      </c>
      <c r="B94" s="21" t="inlineStr">
        <is>
          <t>Cylinder</t>
        </is>
      </c>
      <c r="C94" s="21" t="n">
        <v>30</v>
      </c>
      <c r="D94" s="21" t="inlineStr">
        <is>
          <t>Clear</t>
        </is>
      </c>
      <c r="E94" s="21" t="inlineStr">
        <is>
          <t>Cap/Closure</t>
        </is>
      </c>
      <c r="F94" s="21" t="inlineStr">
        <is>
          <t>18-415</t>
        </is>
      </c>
      <c r="G94" s="21" t="inlineStr">
        <is>
          <t>30 ml Clear Cylinder Bottle with Cap</t>
        </is>
      </c>
      <c r="H94" s="21" t="inlineStr">
        <is>
          <t>Glass Bottle</t>
        </is>
      </c>
      <c r="I94" s="21" t="inlineStr">
        <is>
          <t>Spray Bottle</t>
        </is>
      </c>
      <c r="J94" s="21" t="inlineStr">
        <is>
          <t>cylinder-30ml-clear-18-415</t>
        </is>
      </c>
      <c r="K94" s="21" t="inlineStr">
        <is>
          <t>kh71wqtpsay346wr8p7dk9x07n83kraw</t>
        </is>
      </c>
      <c r="L94" s="21" t="inlineStr">
        <is>
          <t>GB-SPR-CLR-30ML-GLD</t>
        </is>
      </c>
      <c r="M94" s="21" t="inlineStr">
        <is>
          <t>GBSpry1ozGl</t>
        </is>
      </c>
      <c r="N94" s="21" t="inlineStr">
        <is>
          <t>GBSpry1ozGl, GBSpry1ozSl</t>
        </is>
      </c>
      <c r="O94" s="22" t="inlineStr">
        <is>
          <t>https://www.bestbottles.com/product/Tube-Glass-Bottle-Sprayer-atomizer-Gold-1oz</t>
        </is>
      </c>
      <c r="P94" s="23" t="inlineStr">
        <is>
          <t>No</t>
        </is>
      </c>
      <c r="Q94" s="21" t="n"/>
      <c r="R94" s="21" t="n">
        <v>2</v>
      </c>
      <c r="S94" s="21" t="n">
        <v>2.1</v>
      </c>
      <c r="T94" s="21" t="n">
        <v>2.1</v>
      </c>
      <c r="U94" s="21" t="n"/>
      <c r="V94" s="21" t="n"/>
      <c r="W94" s="21" t="n"/>
      <c r="X94" s="21" t="n"/>
    </row>
    <row r="95" ht="15" customHeight="1" s="19">
      <c r="A95" s="24" t="n">
        <v>94</v>
      </c>
      <c r="B95" s="24" t="inlineStr">
        <is>
          <t>Cylinder</t>
        </is>
      </c>
      <c r="C95" s="24" t="n">
        <v>50</v>
      </c>
      <c r="D95" s="24" t="inlineStr">
        <is>
          <t>Clear</t>
        </is>
      </c>
      <c r="E95" s="24" t="inlineStr">
        <is>
          <t>Lotion Pump</t>
        </is>
      </c>
      <c r="F95" s="24" t="inlineStr">
        <is>
          <t>18-415</t>
        </is>
      </c>
      <c r="G95" s="24" t="inlineStr">
        <is>
          <t>50 ml Clear Cylinder Lotion Pump Bottle</t>
        </is>
      </c>
      <c r="H95" s="24" t="inlineStr">
        <is>
          <t>Glass Bottle</t>
        </is>
      </c>
      <c r="I95" s="24" t="inlineStr">
        <is>
          <t>Cylinder</t>
        </is>
      </c>
      <c r="J95" s="24" t="inlineStr">
        <is>
          <t>cylinder-50ml-clear-18-415-lotionpump</t>
        </is>
      </c>
      <c r="K95" s="24" t="inlineStr">
        <is>
          <t>kh7ahzt71xn1vbqw2xh184dkwn83knx2</t>
        </is>
      </c>
      <c r="L95" s="24" t="n"/>
      <c r="M95" s="24" t="n"/>
      <c r="N95" s="24" t="n"/>
      <c r="O95" s="24" t="n"/>
      <c r="P95" s="23" t="inlineStr">
        <is>
          <t>No</t>
        </is>
      </c>
      <c r="Q95" s="24" t="n"/>
      <c r="R95" s="24" t="n">
        <v>7</v>
      </c>
      <c r="S95" s="24" t="n">
        <v>2.7</v>
      </c>
      <c r="T95" s="24" t="n">
        <v>2.7</v>
      </c>
      <c r="U95" s="24" t="n"/>
      <c r="V95" s="24" t="n"/>
      <c r="W95" s="24" t="n"/>
      <c r="X95" s="24" t="n"/>
    </row>
    <row r="96" ht="15" customHeight="1" s="19">
      <c r="A96" s="21" t="n">
        <v>95</v>
      </c>
      <c r="B96" s="21" t="inlineStr">
        <is>
          <t>Cylinder</t>
        </is>
      </c>
      <c r="C96" s="21" t="n">
        <v>50</v>
      </c>
      <c r="D96" s="21" t="inlineStr">
        <is>
          <t>Clear</t>
        </is>
      </c>
      <c r="E96" s="21" t="inlineStr">
        <is>
          <t>Metal Roller Ball, Plastic Roller Ball</t>
        </is>
      </c>
      <c r="F96" s="21" t="inlineStr">
        <is>
          <t>16mm</t>
        </is>
      </c>
      <c r="G96" s="21" t="inlineStr">
        <is>
          <t>50 ml Clear Cylinder Roll-On Bottle</t>
        </is>
      </c>
      <c r="H96" s="21" t="inlineStr">
        <is>
          <t>Glass Bottle</t>
        </is>
      </c>
      <c r="I96" s="21" t="inlineStr">
        <is>
          <t>Cylinder</t>
        </is>
      </c>
      <c r="J96" s="21" t="inlineStr">
        <is>
          <t>cylinder-50ml-clear-16mm-rollon</t>
        </is>
      </c>
      <c r="K96" s="21" t="inlineStr">
        <is>
          <t>kh77m2km2vmmt6cddyqcskd43d83kmns</t>
        </is>
      </c>
      <c r="L96" s="21" t="inlineStr">
        <is>
          <t>GB-CYL-WHT-50ML-MRL-WHT</t>
        </is>
      </c>
      <c r="M96" s="21" t="inlineStr">
        <is>
          <t>GBCyl50MtlRollWht</t>
        </is>
      </c>
      <c r="N96" s="21" t="inlineStr">
        <is>
          <t>GBCyl50MtlRollWht, GBCyl50RollWht</t>
        </is>
      </c>
      <c r="O96" s="22" t="inlineStr">
        <is>
          <t>https://www.bestbottles.com/product/cylinder-style-50-ml-glass-bottle-metal-roll-on-and-white-cap</t>
        </is>
      </c>
      <c r="P96" s="23" t="inlineStr">
        <is>
          <t>No</t>
        </is>
      </c>
      <c r="Q96" s="21" t="n"/>
      <c r="R96" s="21" t="n">
        <v>4</v>
      </c>
      <c r="S96" s="21" t="n">
        <v>0.95</v>
      </c>
      <c r="T96" s="21" t="n">
        <v>1.25</v>
      </c>
      <c r="U96" s="21" t="n"/>
      <c r="V96" s="21" t="n"/>
      <c r="W96" s="21" t="n"/>
      <c r="X96" s="21" t="n"/>
    </row>
    <row r="97" ht="15" customHeight="1" s="19">
      <c r="A97" s="24" t="n">
        <v>96</v>
      </c>
      <c r="B97" s="24" t="inlineStr">
        <is>
          <t>Cylinder</t>
        </is>
      </c>
      <c r="C97" s="24" t="n">
        <v>50</v>
      </c>
      <c r="D97" s="24" t="inlineStr">
        <is>
          <t>Clear</t>
        </is>
      </c>
      <c r="E97" s="24" t="inlineStr">
        <is>
          <t>Perfume Spray Pump</t>
        </is>
      </c>
      <c r="F97" s="24" t="inlineStr">
        <is>
          <t>18-415</t>
        </is>
      </c>
      <c r="G97" s="24" t="inlineStr">
        <is>
          <t>50 ml Clear Cylinder Bottle</t>
        </is>
      </c>
      <c r="H97" s="24" t="inlineStr">
        <is>
          <t>Glass Bottle</t>
        </is>
      </c>
      <c r="I97" s="24" t="inlineStr">
        <is>
          <t>Cylinder</t>
        </is>
      </c>
      <c r="J97" s="24" t="inlineStr">
        <is>
          <t>cylinder-50ml-clear-18-415-perfumespray</t>
        </is>
      </c>
      <c r="K97" s="24" t="inlineStr">
        <is>
          <t>kh74cbkw4y0wve7kgy4qjpg5a183kezx</t>
        </is>
      </c>
      <c r="L97" s="24" t="inlineStr">
        <is>
          <t>GB-CYL-CLR-50ML-SPR-MGLD</t>
        </is>
      </c>
      <c r="M97" s="24" t="inlineStr">
        <is>
          <t>GBCyl50SpryMtGl</t>
        </is>
      </c>
      <c r="N97" s="24" t="inlineStr">
        <is>
          <t>GBCyl50SpryMtGl, GBCyl50SpryShnGl, GBCyl50SpryShnBlk, GBCyl50SpryMtSl, GBCyl50SpryShnSl, GBCyl50SpryCu</t>
        </is>
      </c>
      <c r="O97" s="25" t="inlineStr">
        <is>
          <t>https://www.bestbottles.com/product/cylinder-design-50-ml-glass-bottle-matte-gold-spray-pump-and-cap</t>
        </is>
      </c>
      <c r="P97" s="23" t="inlineStr">
        <is>
          <t>No</t>
        </is>
      </c>
      <c r="Q97" s="24" t="n"/>
      <c r="R97" s="24" t="n">
        <v>6</v>
      </c>
      <c r="S97" s="24" t="n">
        <v>2.7</v>
      </c>
      <c r="T97" s="24" t="n">
        <v>2.7</v>
      </c>
      <c r="U97" s="24" t="n"/>
      <c r="V97" s="24" t="n"/>
      <c r="W97" s="24" t="n"/>
      <c r="X97" s="24" t="n"/>
    </row>
    <row r="98" ht="15" customHeight="1" s="19">
      <c r="A98" s="21" t="n">
        <v>97</v>
      </c>
      <c r="B98" s="21" t="inlineStr">
        <is>
          <t>Cylinder</t>
        </is>
      </c>
      <c r="C98" s="21" t="n">
        <v>50</v>
      </c>
      <c r="D98" s="21" t="inlineStr">
        <is>
          <t>Clear</t>
        </is>
      </c>
      <c r="E98" s="21" t="inlineStr">
        <is>
          <t>Reducer</t>
        </is>
      </c>
      <c r="F98" s="21" t="inlineStr">
        <is>
          <t>18-415</t>
        </is>
      </c>
      <c r="G98" s="21" t="inlineStr">
        <is>
          <t>50 ml Clear Cylinder Reducer Bottle</t>
        </is>
      </c>
      <c r="H98" s="21" t="inlineStr">
        <is>
          <t>Glass Bottle</t>
        </is>
      </c>
      <c r="I98" s="21" t="inlineStr">
        <is>
          <t>Cylinder</t>
        </is>
      </c>
      <c r="J98" s="21" t="inlineStr">
        <is>
          <t>cylinder-50ml-clear-18-415-reducer</t>
        </is>
      </c>
      <c r="K98" s="21" t="inlineStr">
        <is>
          <t>kh7fyz79dvt7hbtsfehcz17dr983kp64</t>
        </is>
      </c>
      <c r="L98" s="21" t="inlineStr">
        <is>
          <t>GB-CYL-CLR-50ML-RDC-BKLT</t>
        </is>
      </c>
      <c r="M98" s="21" t="inlineStr">
        <is>
          <t>GBCyl50RdcrBlkLthr</t>
        </is>
      </c>
      <c r="N98" s="21" t="inlineStr">
        <is>
          <t>GBCyl50RdcrBlkLthr</t>
        </is>
      </c>
      <c r="O98" s="22" t="inlineStr">
        <is>
          <t>https://www.bestbottles.com/product/cylinder-design-50-ml-glass-bottle-reducer-black-faux-leather-cap</t>
        </is>
      </c>
      <c r="P98" s="23" t="inlineStr">
        <is>
          <t>No</t>
        </is>
      </c>
      <c r="Q98" s="21" t="n"/>
      <c r="R98" s="21" t="n">
        <v>12</v>
      </c>
      <c r="S98" s="21" t="n">
        <v>1.67</v>
      </c>
      <c r="T98" s="21" t="n">
        <v>1.95</v>
      </c>
      <c r="U98" s="21" t="n"/>
      <c r="V98" s="21" t="n"/>
      <c r="W98" s="21" t="n"/>
      <c r="X98" s="21" t="n"/>
    </row>
    <row r="99" ht="15" customHeight="1" s="19">
      <c r="A99" s="24" t="n">
        <v>98</v>
      </c>
      <c r="B99" s="24" t="inlineStr">
        <is>
          <t>Cylinder</t>
        </is>
      </c>
      <c r="C99" s="24" t="n">
        <v>50</v>
      </c>
      <c r="D99" s="24" t="inlineStr">
        <is>
          <t>Clear</t>
        </is>
      </c>
      <c r="E99" s="24" t="inlineStr">
        <is>
          <t>Vintage Bulb Sprayer</t>
        </is>
      </c>
      <c r="F99" s="24" t="inlineStr">
        <is>
          <t>18-415</t>
        </is>
      </c>
      <c r="G99" s="24" t="inlineStr">
        <is>
          <t>50 ml Clear Cylinder Vintage Bulb Spray Bottle</t>
        </is>
      </c>
      <c r="H99" s="24" t="inlineStr">
        <is>
          <t>Glass Bottle</t>
        </is>
      </c>
      <c r="I99" s="24" t="inlineStr">
        <is>
          <t>Cylinder</t>
        </is>
      </c>
      <c r="J99" s="24" t="inlineStr">
        <is>
          <t>cylinder-50ml-clear-18-415-antiquespray</t>
        </is>
      </c>
      <c r="K99" s="24" t="inlineStr">
        <is>
          <t>kh770e6frzck03vatr4ychxpyd83kt57</t>
        </is>
      </c>
      <c r="L99" s="24" t="inlineStr">
        <is>
          <t>GB-CYL-CLR-50ML-ASP-BLK</t>
        </is>
      </c>
      <c r="M99" s="24" t="inlineStr">
        <is>
          <t>GBCyl50AnSpBlk</t>
        </is>
      </c>
      <c r="N99" s="24" t="inlineStr">
        <is>
          <t>GBCyl50AnSpBlk</t>
        </is>
      </c>
      <c r="O99" s="25" t="inlineStr">
        <is>
          <t>https://www.bestbottles.com/product/cylinder-design-50-ml-glass-bottle-black-vintage-style-bulb-sprayer-shiny-silver-collar-cap</t>
        </is>
      </c>
      <c r="P99" s="23" t="inlineStr">
        <is>
          <t>No</t>
        </is>
      </c>
      <c r="Q99" s="24" t="n"/>
      <c r="R99" s="24" t="n">
        <v>9</v>
      </c>
      <c r="S99" s="24" t="n">
        <v>5.55</v>
      </c>
      <c r="T99" s="24" t="n">
        <v>5.55</v>
      </c>
      <c r="U99" s="24" t="n"/>
      <c r="V99" s="24" t="n"/>
      <c r="W99" s="24" t="n"/>
      <c r="X99" s="24" t="n"/>
    </row>
    <row r="100" ht="15" customHeight="1" s="19">
      <c r="A100" s="21" t="n">
        <v>99</v>
      </c>
      <c r="B100" s="21" t="inlineStr">
        <is>
          <t>Cylinder</t>
        </is>
      </c>
      <c r="C100" s="21" t="n">
        <v>50</v>
      </c>
      <c r="D100" s="21" t="inlineStr">
        <is>
          <t>Clear</t>
        </is>
      </c>
      <c r="E100" s="21" t="inlineStr">
        <is>
          <t>Vintage Bulb Sprayer with Tassel</t>
        </is>
      </c>
      <c r="F100" s="21" t="inlineStr">
        <is>
          <t>18-415</t>
        </is>
      </c>
      <c r="G100" s="21" t="inlineStr">
        <is>
          <t>50 ml Clear Cylinder Vintage Bulb Spray Bottle with Tassel</t>
        </is>
      </c>
      <c r="H100" s="21" t="inlineStr">
        <is>
          <t>Glass Bottle</t>
        </is>
      </c>
      <c r="I100" s="21" t="inlineStr">
        <is>
          <t>Cylinder</t>
        </is>
      </c>
      <c r="J100" s="21" t="inlineStr">
        <is>
          <t>cylinder-50ml-clear-18-415-antiquespray-tassel</t>
        </is>
      </c>
      <c r="K100" s="21" t="inlineStr">
        <is>
          <t>kh726vbefdwtybgksnjya9hxv183k9t0</t>
        </is>
      </c>
      <c r="L100" s="21" t="inlineStr">
        <is>
          <t>GB-CYL-CLR-50ML-AST-BLK</t>
        </is>
      </c>
      <c r="M100" s="21" t="inlineStr">
        <is>
          <t>GBCyl50AnSpTslBlk</t>
        </is>
      </c>
      <c r="N100" s="21" t="inlineStr">
        <is>
          <t>GBCyl50AnSpTslBlk</t>
        </is>
      </c>
      <c r="O100" s="22" t="inlineStr">
        <is>
          <t>https://www.bestbottles.com/product/cylinder-design-50-ml-glass-bottle-black-vintage-style-sprayer-with-tassel-shiny-silver-collar</t>
        </is>
      </c>
      <c r="P100" s="23" t="inlineStr">
        <is>
          <t>No</t>
        </is>
      </c>
      <c r="Q100" s="21" t="n"/>
      <c r="R100" s="21" t="n">
        <v>9</v>
      </c>
      <c r="S100" s="21" t="n">
        <v>6.3</v>
      </c>
      <c r="T100" s="21" t="n">
        <v>6.3</v>
      </c>
      <c r="U100" s="21" t="n"/>
      <c r="V100" s="21" t="n"/>
      <c r="W100" s="21" t="n"/>
      <c r="X100" s="21" t="n"/>
    </row>
    <row r="101" ht="15" customHeight="1" s="19">
      <c r="A101" s="24" t="n">
        <v>100</v>
      </c>
      <c r="B101" s="24" t="inlineStr">
        <is>
          <t>Cylinder</t>
        </is>
      </c>
      <c r="C101" s="24" t="n">
        <v>100</v>
      </c>
      <c r="D101" s="24" t="inlineStr">
        <is>
          <t>Clear</t>
        </is>
      </c>
      <c r="E101" s="24" t="inlineStr">
        <is>
          <t>Lotion Pump</t>
        </is>
      </c>
      <c r="F101" s="24" t="inlineStr">
        <is>
          <t>18-415</t>
        </is>
      </c>
      <c r="G101" s="24" t="inlineStr">
        <is>
          <t>100 ml Clear Cylinder Lotion Pump Bottle</t>
        </is>
      </c>
      <c r="H101" s="24" t="inlineStr">
        <is>
          <t>Glass Bottle</t>
        </is>
      </c>
      <c r="I101" s="24" t="inlineStr">
        <is>
          <t>Cylinder</t>
        </is>
      </c>
      <c r="J101" s="24" t="inlineStr">
        <is>
          <t>cylinder-100ml-clear-18-415-lotionpump</t>
        </is>
      </c>
      <c r="K101" s="24" t="inlineStr">
        <is>
          <t>kh721mw91ssyyxh31ea8k1gt2d83kmz9</t>
        </is>
      </c>
      <c r="L101" s="24" t="inlineStr">
        <is>
          <t>LB-CYL-CLR-100ML-LPM-COCP</t>
        </is>
      </c>
      <c r="M101" s="24" t="inlineStr">
        <is>
          <t>LBCyl100LtnClOvrCap</t>
        </is>
      </c>
      <c r="N101" s="24" t="inlineStr">
        <is>
          <t>LBCyl100LtnClOvrCap</t>
        </is>
      </c>
      <c r="O101" s="25" t="inlineStr">
        <is>
          <t>https://www.bestbottles.com/product/cylinder-design-100-ml-glass-bottle-clear-over-the-cap-lotion-pump-matte-silver-collar-cap</t>
        </is>
      </c>
      <c r="P101" s="23" t="inlineStr">
        <is>
          <t>No</t>
        </is>
      </c>
      <c r="Q101" s="24" t="n"/>
      <c r="R101" s="24" t="n">
        <v>7</v>
      </c>
      <c r="S101" s="24" t="n">
        <v>3.05</v>
      </c>
      <c r="T101" s="24" t="n">
        <v>3.05</v>
      </c>
      <c r="U101" s="24" t="n"/>
      <c r="V101" s="24" t="n"/>
      <c r="W101" s="24" t="n"/>
      <c r="X101" s="24" t="n"/>
    </row>
    <row r="102" ht="15" customHeight="1" s="19">
      <c r="A102" s="21" t="n">
        <v>101</v>
      </c>
      <c r="B102" s="21" t="inlineStr">
        <is>
          <t>Cylinder</t>
        </is>
      </c>
      <c r="C102" s="21" t="n">
        <v>100</v>
      </c>
      <c r="D102" s="21" t="inlineStr">
        <is>
          <t>Clear</t>
        </is>
      </c>
      <c r="E102" s="21" t="inlineStr">
        <is>
          <t>Perfume Spray Pump</t>
        </is>
      </c>
      <c r="F102" s="21" t="inlineStr">
        <is>
          <t>18-415</t>
        </is>
      </c>
      <c r="G102" s="21" t="inlineStr">
        <is>
          <t>100 ml Clear Cylinder Bottle</t>
        </is>
      </c>
      <c r="H102" s="21" t="inlineStr">
        <is>
          <t>Glass Bottle</t>
        </is>
      </c>
      <c r="I102" s="21" t="inlineStr">
        <is>
          <t>Cylinder</t>
        </is>
      </c>
      <c r="J102" s="21" t="inlineStr">
        <is>
          <t>cylinder-100ml-clear-18-415-perfumespray</t>
        </is>
      </c>
      <c r="K102" s="21" t="inlineStr">
        <is>
          <t>kh79v3q8ytn8hgaapdynrb4kpd83kdxf</t>
        </is>
      </c>
      <c r="L102" s="21" t="inlineStr">
        <is>
          <t>GB-CYL-CLR-100ML-SPR-CPR</t>
        </is>
      </c>
      <c r="M102" s="21" t="inlineStr">
        <is>
          <t>GBCyl100SpryCu</t>
        </is>
      </c>
      <c r="N102" s="21" t="inlineStr">
        <is>
          <t>GBCyl100SpryCu, GBCyl100SpryMtGl, GBCyl100SpryShnGl, GBCyl100SpryShnBlk, GBCyl100SpryMtSl, GBCyl100SpryShnSl</t>
        </is>
      </c>
      <c r="O102" s="22" t="inlineStr">
        <is>
          <t>https://www.bestbottles.com/product/cylinder-design-100-ml-glass-bottle-matte-copper-spray-and-cap</t>
        </is>
      </c>
      <c r="P102" s="23" t="inlineStr">
        <is>
          <t>No</t>
        </is>
      </c>
      <c r="Q102" s="21" t="n"/>
      <c r="R102" s="21" t="n">
        <v>6</v>
      </c>
      <c r="S102" s="21" t="n">
        <v>3.05</v>
      </c>
      <c r="T102" s="21" t="n">
        <v>3.05</v>
      </c>
      <c r="U102" s="21" t="n"/>
      <c r="V102" s="21" t="n"/>
      <c r="W102" s="21" t="n"/>
      <c r="X102" s="21" t="n"/>
    </row>
    <row r="103" ht="15" customHeight="1" s="19">
      <c r="A103" s="24" t="n">
        <v>102</v>
      </c>
      <c r="B103" s="24" t="inlineStr">
        <is>
          <t>Cylinder</t>
        </is>
      </c>
      <c r="C103" s="24" t="n">
        <v>100</v>
      </c>
      <c r="D103" s="24" t="inlineStr">
        <is>
          <t>Clear</t>
        </is>
      </c>
      <c r="E103" s="24" t="inlineStr">
        <is>
          <t>Reducer</t>
        </is>
      </c>
      <c r="F103" s="24" t="inlineStr">
        <is>
          <t>18-415</t>
        </is>
      </c>
      <c r="G103" s="24" t="inlineStr">
        <is>
          <t>100 ml Clear Cylinder Reducer Bottle</t>
        </is>
      </c>
      <c r="H103" s="24" t="inlineStr">
        <is>
          <t>Glass Bottle</t>
        </is>
      </c>
      <c r="I103" s="24" t="inlineStr">
        <is>
          <t>Cylinder</t>
        </is>
      </c>
      <c r="J103" s="24" t="inlineStr">
        <is>
          <t>cylinder-100ml-clear-18-415-reducer</t>
        </is>
      </c>
      <c r="K103" s="24" t="inlineStr">
        <is>
          <t>kh7b67dyan5neb8h5f5r3xh49n83j533</t>
        </is>
      </c>
      <c r="L103" s="24" t="inlineStr">
        <is>
          <t>GB-CYL-CLR-100ML-RDC-SGLD</t>
        </is>
      </c>
      <c r="M103" s="24" t="inlineStr">
        <is>
          <t>GBCyl100RdcrShnGl</t>
        </is>
      </c>
      <c r="N103" s="24" t="inlineStr">
        <is>
          <t>GBCyl100RdcrShnGl, GBCyl100RdcrShnBlkTall, GBCyl100RdcrShnBlk, GBCyl100RdcrBrwnLthr, GBCyl100RdcrLBrwnLthr, GBCyl100RdcrShnSl, GBCyl100RdcrMtSlTall, GBCyl100RdcrMtSl, GBCyl100RdcrWht, GBCyl100RdcrIvyLthr, GBCyl100RdcrPnkLthr, GBCyl100RdcrBlkLthr</t>
        </is>
      </c>
      <c r="O103" s="25" t="inlineStr">
        <is>
          <t>https://www.bestbottles.com/product/cylinder-design-100-ml-glass-bottle-reducer-shiny-gold-cap</t>
        </is>
      </c>
      <c r="P103" s="23" t="inlineStr">
        <is>
          <t>No</t>
        </is>
      </c>
      <c r="Q103" s="24" t="n"/>
      <c r="R103" s="24" t="n">
        <v>12</v>
      </c>
      <c r="S103" s="24" t="n">
        <v>2.02</v>
      </c>
      <c r="T103" s="24" t="n">
        <v>2.3</v>
      </c>
      <c r="U103" s="24" t="n"/>
      <c r="V103" s="24" t="n"/>
      <c r="W103" s="24" t="n"/>
      <c r="X103" s="24" t="n"/>
    </row>
    <row r="104" ht="15" customHeight="1" s="19">
      <c r="A104" s="21" t="n">
        <v>103</v>
      </c>
      <c r="B104" s="21" t="inlineStr">
        <is>
          <t>Cylinder</t>
        </is>
      </c>
      <c r="C104" s="21" t="n">
        <v>100</v>
      </c>
      <c r="D104" s="21" t="inlineStr">
        <is>
          <t>Clear</t>
        </is>
      </c>
      <c r="E104" s="21" t="inlineStr">
        <is>
          <t>Vintage Bulb Sprayer</t>
        </is>
      </c>
      <c r="F104" s="21" t="inlineStr">
        <is>
          <t>18-415</t>
        </is>
      </c>
      <c r="G104" s="21" t="inlineStr">
        <is>
          <t>100 ml Clear Cylinder Vintage Bulb Spray Bottle</t>
        </is>
      </c>
      <c r="H104" s="21" t="inlineStr">
        <is>
          <t>Glass Bottle</t>
        </is>
      </c>
      <c r="I104" s="21" t="inlineStr">
        <is>
          <t>Cylinder</t>
        </is>
      </c>
      <c r="J104" s="21" t="inlineStr">
        <is>
          <t>cylinder-100ml-clear-18-415-antiquespray</t>
        </is>
      </c>
      <c r="K104" s="21" t="inlineStr">
        <is>
          <t>kh798e2gkcrmz043b4pw6jq2nd83kkd2</t>
        </is>
      </c>
      <c r="L104" s="21" t="n"/>
      <c r="M104" s="21" t="n"/>
      <c r="N104" s="21" t="n"/>
      <c r="O104" s="21" t="n"/>
      <c r="P104" s="23" t="inlineStr">
        <is>
          <t>No</t>
        </is>
      </c>
      <c r="Q104" s="21" t="n"/>
      <c r="R104" s="21" t="n">
        <v>9</v>
      </c>
      <c r="S104" s="21" t="n">
        <v>5.9</v>
      </c>
      <c r="T104" s="21" t="n">
        <v>5.9</v>
      </c>
      <c r="U104" s="21" t="n"/>
      <c r="V104" s="21" t="n"/>
      <c r="W104" s="21" t="n"/>
      <c r="X104" s="21" t="n"/>
    </row>
    <row r="105" ht="15" customHeight="1" s="19">
      <c r="A105" s="24" t="n">
        <v>104</v>
      </c>
      <c r="B105" s="24" t="inlineStr">
        <is>
          <t>Cylinder</t>
        </is>
      </c>
      <c r="C105" s="24" t="n">
        <v>100</v>
      </c>
      <c r="D105" s="24" t="inlineStr">
        <is>
          <t>Clear</t>
        </is>
      </c>
      <c r="E105" s="24" t="inlineStr">
        <is>
          <t>Vintage Bulb Sprayer with Tassel</t>
        </is>
      </c>
      <c r="F105" s="24" t="inlineStr">
        <is>
          <t>18-415</t>
        </is>
      </c>
      <c r="G105" s="24" t="inlineStr">
        <is>
          <t>100 ml Clear Cylinder Vintage Bulb Spray Bottle with Tassel</t>
        </is>
      </c>
      <c r="H105" s="24" t="inlineStr">
        <is>
          <t>Glass Bottle</t>
        </is>
      </c>
      <c r="I105" s="24" t="inlineStr">
        <is>
          <t>Cylinder</t>
        </is>
      </c>
      <c r="J105" s="24" t="inlineStr">
        <is>
          <t>cylinder-100ml-clear-18-415-antiquespray-tassel</t>
        </is>
      </c>
      <c r="K105" s="24" t="inlineStr">
        <is>
          <t>kh786g81v3tbzmc3zrafftezys83kqmz</t>
        </is>
      </c>
      <c r="L105" s="24" t="n"/>
      <c r="M105" s="24" t="n"/>
      <c r="N105" s="24" t="n"/>
      <c r="O105" s="24" t="n"/>
      <c r="P105" s="23" t="inlineStr">
        <is>
          <t>No</t>
        </is>
      </c>
      <c r="Q105" s="24" t="n"/>
      <c r="R105" s="24" t="n">
        <v>9</v>
      </c>
      <c r="S105" s="24" t="n">
        <v>6.65</v>
      </c>
      <c r="T105" s="24" t="n">
        <v>6.65</v>
      </c>
      <c r="U105" s="24" t="n"/>
      <c r="V105" s="24" t="n"/>
      <c r="W105" s="24" t="n"/>
      <c r="X105" s="24" t="n"/>
    </row>
    <row r="106" ht="15" customHeight="1" s="19">
      <c r="A106" s="21" t="n">
        <v>105</v>
      </c>
      <c r="B106" s="21" t="inlineStr">
        <is>
          <t>Cylinder</t>
        </is>
      </c>
      <c r="C106" s="21" t="n">
        <v>118</v>
      </c>
      <c r="D106" s="21" t="inlineStr">
        <is>
          <t>Clear</t>
        </is>
      </c>
      <c r="E106" s="21" t="inlineStr">
        <is>
          <t>Cap/Closure</t>
        </is>
      </c>
      <c r="F106" s="21" t="n"/>
      <c r="G106" s="21" t="inlineStr">
        <is>
          <t>118 ml Clear Cylinder Bottle with Cap</t>
        </is>
      </c>
      <c r="H106" s="21" t="inlineStr">
        <is>
          <t>Glass Bottle</t>
        </is>
      </c>
      <c r="I106" s="21" t="n"/>
      <c r="J106" s="21" t="inlineStr">
        <is>
          <t>cylinder-118ml-clear</t>
        </is>
      </c>
      <c r="K106" s="21" t="inlineStr">
        <is>
          <t>kh7dvr4the8085x4b6zz96fd4h83jppp</t>
        </is>
      </c>
      <c r="L106" s="21" t="n"/>
      <c r="M106" s="21" t="n"/>
      <c r="N106" s="21" t="n"/>
      <c r="O106" s="21" t="n"/>
      <c r="P106" s="23" t="inlineStr">
        <is>
          <t>No</t>
        </is>
      </c>
      <c r="Q106" s="21" t="n"/>
      <c r="R106" s="21" t="n">
        <v>1</v>
      </c>
      <c r="S106" s="21" t="n">
        <v>0.66</v>
      </c>
      <c r="T106" s="21" t="n">
        <v>0.66</v>
      </c>
      <c r="U106" s="21" t="n"/>
      <c r="V106" s="21" t="n"/>
      <c r="W106" s="21" t="n"/>
      <c r="X106" s="21" t="n"/>
    </row>
    <row r="107" ht="15" customHeight="1" s="19">
      <c r="A107" s="24" t="n">
        <v>106</v>
      </c>
      <c r="B107" s="24" t="inlineStr">
        <is>
          <t>Cylinder</t>
        </is>
      </c>
      <c r="C107" s="24" t="n">
        <v>227</v>
      </c>
      <c r="D107" s="24" t="inlineStr">
        <is>
          <t>Clear</t>
        </is>
      </c>
      <c r="E107" s="24" t="inlineStr">
        <is>
          <t>Cap/Closure</t>
        </is>
      </c>
      <c r="F107" s="24" t="n"/>
      <c r="G107" s="24" t="inlineStr">
        <is>
          <t>227 ml Clear Cylinder Bottle with Cap</t>
        </is>
      </c>
      <c r="H107" s="24" t="inlineStr">
        <is>
          <t>Glass Bottle</t>
        </is>
      </c>
      <c r="I107" s="24" t="n"/>
      <c r="J107" s="24" t="inlineStr">
        <is>
          <t>cylinder-227ml-clear</t>
        </is>
      </c>
      <c r="K107" s="24" t="inlineStr">
        <is>
          <t>kh7c4kpkqst79wqw4y1p39yg4n83k4d2</t>
        </is>
      </c>
      <c r="L107" s="24" t="n"/>
      <c r="M107" s="24" t="n"/>
      <c r="N107" s="24" t="n"/>
      <c r="O107" s="24" t="n"/>
      <c r="P107" s="23" t="inlineStr">
        <is>
          <t>No</t>
        </is>
      </c>
      <c r="Q107" s="24" t="n"/>
      <c r="R107" s="24" t="n">
        <v>1</v>
      </c>
      <c r="S107" s="24" t="n">
        <v>0.97</v>
      </c>
      <c r="T107" s="24" t="n">
        <v>0.97</v>
      </c>
      <c r="U107" s="24" t="n"/>
      <c r="V107" s="24" t="n"/>
      <c r="W107" s="24" t="n"/>
      <c r="X107" s="24" t="n"/>
    </row>
    <row r="108" ht="15" customHeight="1" s="19">
      <c r="A108" s="21" t="n">
        <v>107</v>
      </c>
      <c r="B108" s="21" t="inlineStr">
        <is>
          <t>Cylinder</t>
        </is>
      </c>
      <c r="C108" s="21" t="n">
        <v>454</v>
      </c>
      <c r="D108" s="21" t="inlineStr">
        <is>
          <t>Clear</t>
        </is>
      </c>
      <c r="E108" s="21" t="inlineStr">
        <is>
          <t>Cap/Closure</t>
        </is>
      </c>
      <c r="F108" s="21" t="n"/>
      <c r="G108" s="21" t="inlineStr">
        <is>
          <t>454 ml Clear Cylinder Bottle with Cap</t>
        </is>
      </c>
      <c r="H108" s="21" t="inlineStr">
        <is>
          <t>Glass Bottle</t>
        </is>
      </c>
      <c r="I108" s="21" t="n"/>
      <c r="J108" s="21" t="inlineStr">
        <is>
          <t>cylinder-454ml-clear</t>
        </is>
      </c>
      <c r="K108" s="21" t="inlineStr">
        <is>
          <t>kh76h3nefnjv0qeezeyd2vhkgs83k0t0</t>
        </is>
      </c>
      <c r="L108" s="21" t="n"/>
      <c r="M108" s="21" t="n"/>
      <c r="N108" s="21" t="n"/>
      <c r="O108" s="21" t="n"/>
      <c r="P108" s="23" t="inlineStr">
        <is>
          <t>No</t>
        </is>
      </c>
      <c r="Q108" s="21" t="n"/>
      <c r="R108" s="21" t="n">
        <v>1</v>
      </c>
      <c r="S108" s="21" t="n">
        <v>1.16</v>
      </c>
      <c r="T108" s="21" t="n">
        <v>1.16</v>
      </c>
      <c r="U108" s="21" t="n"/>
      <c r="V108" s="21" t="n"/>
      <c r="W108" s="21" t="n"/>
      <c r="X108" s="21" t="n"/>
    </row>
    <row r="109" ht="15" customHeight="1" s="19">
      <c r="A109" s="24" t="n">
        <v>108</v>
      </c>
      <c r="B109" s="24" t="inlineStr">
        <is>
          <t>Decorative</t>
        </is>
      </c>
      <c r="C109" s="24" t="n">
        <v>3</v>
      </c>
      <c r="D109" s="24" t="inlineStr">
        <is>
          <t>Clear</t>
        </is>
      </c>
      <c r="E109" s="24" t="inlineStr">
        <is>
          <t>Cap/Closure</t>
        </is>
      </c>
      <c r="F109" s="24" t="inlineStr">
        <is>
          <t>14.3mm</t>
        </is>
      </c>
      <c r="G109" s="24" t="inlineStr">
        <is>
          <t>3 ml Clear Tola Bottle</t>
        </is>
      </c>
      <c r="H109" s="24" t="inlineStr">
        <is>
          <t>Glass Bottle</t>
        </is>
      </c>
      <c r="I109" s="24" t="inlineStr">
        <is>
          <t>Decorative</t>
        </is>
      </c>
      <c r="J109" s="24" t="inlineStr">
        <is>
          <t>tola-3ml-clear-14.3mm</t>
        </is>
      </c>
      <c r="K109" s="24" t="inlineStr">
        <is>
          <t>kh7a6n84p1m0d1kt3zexjqy58s83kk6m</t>
        </is>
      </c>
      <c r="L109" s="24" t="inlineStr">
        <is>
          <t>GB-DEC-CLR-3ML-T</t>
        </is>
      </c>
      <c r="M109" s="24" t="inlineStr">
        <is>
          <t>GB3TPlGl</t>
        </is>
      </c>
      <c r="N109" s="24" t="inlineStr">
        <is>
          <t>GB3TPlGl</t>
        </is>
      </c>
      <c r="O109" s="25" t="inlineStr">
        <is>
          <t>https://www.bestbottles.com/product/Octagonal-style-3-ml-glass-bottle-shiny-gold-cap-red-bead</t>
        </is>
      </c>
      <c r="P109" s="23" t="inlineStr">
        <is>
          <t>No</t>
        </is>
      </c>
      <c r="Q109" s="24" t="n"/>
      <c r="R109" s="24" t="n">
        <v>1</v>
      </c>
      <c r="S109" s="24" t="n">
        <v>0.44</v>
      </c>
      <c r="T109" s="24" t="n">
        <v>0.44</v>
      </c>
      <c r="U109" s="24" t="n"/>
      <c r="V109" s="24" t="n"/>
      <c r="W109" s="24" t="n"/>
      <c r="X109" s="24" t="n"/>
    </row>
    <row r="110" ht="15" customHeight="1" s="19">
      <c r="A110" s="21" t="n">
        <v>109</v>
      </c>
      <c r="B110" s="21" t="inlineStr">
        <is>
          <t>Decorative</t>
        </is>
      </c>
      <c r="C110" s="21" t="n">
        <v>4</v>
      </c>
      <c r="D110" s="21" t="inlineStr">
        <is>
          <t>Frosted</t>
        </is>
      </c>
      <c r="E110" s="21" t="inlineStr">
        <is>
          <t>Cap/Closure</t>
        </is>
      </c>
      <c r="F110" s="21" t="inlineStr">
        <is>
          <t>8mm</t>
        </is>
      </c>
      <c r="G110" s="21" t="inlineStr">
        <is>
          <t>4 ml Frosted Heart Bottle with Keychain</t>
        </is>
      </c>
      <c r="H110" s="21" t="inlineStr">
        <is>
          <t>Glass Bottle</t>
        </is>
      </c>
      <c r="I110" s="21" t="inlineStr">
        <is>
          <t>Decorative</t>
        </is>
      </c>
      <c r="J110" s="21" t="inlineStr">
        <is>
          <t>heart-4ml-frosted-8mm-keychain</t>
        </is>
      </c>
      <c r="K110" s="21" t="inlineStr">
        <is>
          <t>kh708f5gm7f7cthkg9y60nj8rn83kdpa</t>
        </is>
      </c>
      <c r="L110" s="21" t="inlineStr">
        <is>
          <t>GB-DEC-FRS-4ML-GST-GLD-T</t>
        </is>
      </c>
      <c r="M110" s="21" t="inlineStr">
        <is>
          <t>GBHeartFrst4KeyGld</t>
        </is>
      </c>
      <c r="N110" s="21" t="inlineStr">
        <is>
          <t>GBHeartFrst4KeyGld</t>
        </is>
      </c>
      <c r="O110" s="22" t="inlineStr">
        <is>
          <t>https://www.bestbottles.com/product/Frosted-glass-small-heart-shaped-bottle-with-gold-key-chain</t>
        </is>
      </c>
      <c r="P110" s="23" t="inlineStr">
        <is>
          <t>No</t>
        </is>
      </c>
      <c r="Q110" s="21" t="n"/>
      <c r="R110" s="21" t="n">
        <v>1</v>
      </c>
      <c r="S110" s="21" t="n">
        <v>2.95</v>
      </c>
      <c r="T110" s="21" t="n">
        <v>2.95</v>
      </c>
      <c r="U110" s="21" t="n"/>
      <c r="V110" s="21" t="n"/>
      <c r="W110" s="21" t="n"/>
      <c r="X110" s="21" t="n"/>
    </row>
    <row r="111" ht="15" customHeight="1" s="19">
      <c r="A111" s="24" t="n">
        <v>110</v>
      </c>
      <c r="B111" s="24" t="inlineStr">
        <is>
          <t>Decorative</t>
        </is>
      </c>
      <c r="C111" s="24" t="n">
        <v>4</v>
      </c>
      <c r="D111" s="24" t="inlineStr">
        <is>
          <t>Frosted</t>
        </is>
      </c>
      <c r="E111" s="24" t="inlineStr">
        <is>
          <t>Cap/Closure</t>
        </is>
      </c>
      <c r="F111" s="24" t="inlineStr">
        <is>
          <t>8mm</t>
        </is>
      </c>
      <c r="G111" s="24" t="inlineStr">
        <is>
          <t>4 ml Frosted Heart Bottle with Tassel</t>
        </is>
      </c>
      <c r="H111" s="24" t="inlineStr">
        <is>
          <t>Glass Bottle</t>
        </is>
      </c>
      <c r="I111" s="24" t="inlineStr">
        <is>
          <t>Decorative</t>
        </is>
      </c>
      <c r="J111" s="24" t="inlineStr">
        <is>
          <t>heart-4ml-frosted-8mm-tassel</t>
        </is>
      </c>
      <c r="K111" s="24" t="inlineStr">
        <is>
          <t>kh71sgsqd3vd219gtwyq5fkgnx83jm3d</t>
        </is>
      </c>
      <c r="L111" s="24" t="inlineStr">
        <is>
          <t>GB-DEC-FRS-4ML-GST-RED-T</t>
        </is>
      </c>
      <c r="M111" s="24" t="inlineStr">
        <is>
          <t>GBHeartFrst4TslRed</t>
        </is>
      </c>
      <c r="N111" s="24" t="inlineStr">
        <is>
          <t>GBHeartFrst4TslRed</t>
        </is>
      </c>
      <c r="O111" s="25" t="inlineStr">
        <is>
          <t>https://www.bestbottles.com/product/Frosted-glass-small-heart-shaped-bottle-with-red-tassel</t>
        </is>
      </c>
      <c r="P111" s="23" t="inlineStr">
        <is>
          <t>No</t>
        </is>
      </c>
      <c r="Q111" s="24" t="n"/>
      <c r="R111" s="24" t="n">
        <v>1</v>
      </c>
      <c r="S111" s="24" t="n">
        <v>2.8</v>
      </c>
      <c r="T111" s="24" t="n">
        <v>2.8</v>
      </c>
      <c r="U111" s="24" t="n"/>
      <c r="V111" s="24" t="n"/>
      <c r="W111" s="24" t="n"/>
      <c r="X111" s="24" t="n"/>
    </row>
    <row r="112" ht="15" customHeight="1" s="19">
      <c r="A112" s="21" t="n">
        <v>111</v>
      </c>
      <c r="B112" s="21" t="inlineStr">
        <is>
          <t>Decorative</t>
        </is>
      </c>
      <c r="C112" s="21" t="n">
        <v>5</v>
      </c>
      <c r="D112" s="21" t="inlineStr">
        <is>
          <t>Clear</t>
        </is>
      </c>
      <c r="E112" s="21" t="inlineStr">
        <is>
          <t>Cap/Closure</t>
        </is>
      </c>
      <c r="F112" s="21" t="inlineStr">
        <is>
          <t>17.52mm</t>
        </is>
      </c>
      <c r="G112" s="21" t="inlineStr">
        <is>
          <t>5 ml Clear Marble Bottle</t>
        </is>
      </c>
      <c r="H112" s="21" t="inlineStr">
        <is>
          <t>Glass Bottle</t>
        </is>
      </c>
      <c r="I112" s="21" t="inlineStr">
        <is>
          <t>Decorative</t>
        </is>
      </c>
      <c r="J112" s="21" t="inlineStr">
        <is>
          <t>marble-5ml-clear-17.52mm</t>
        </is>
      </c>
      <c r="K112" s="21" t="inlineStr">
        <is>
          <t>kh7d1f2mgn9p25ebt0mrsg699x83kj8r</t>
        </is>
      </c>
      <c r="L112" s="21" t="inlineStr">
        <is>
          <t>GB-DEC-CLR-5ML-T</t>
        </is>
      </c>
      <c r="M112" s="21" t="inlineStr">
        <is>
          <t>GBMtlMrblSmall</t>
        </is>
      </c>
      <c r="N112" s="21" t="inlineStr">
        <is>
          <t>GBMtlMrblSmall</t>
        </is>
      </c>
      <c r="O112" s="22" t="inlineStr">
        <is>
          <t>https://www.bestbottles.com/product/Small-decorative-Perfume-bottle-marble-decoration-crystal-top</t>
        </is>
      </c>
      <c r="P112" s="23" t="inlineStr">
        <is>
          <t>No</t>
        </is>
      </c>
      <c r="Q112" s="21" t="n"/>
      <c r="R112" s="21" t="n">
        <v>1</v>
      </c>
      <c r="S112" s="21" t="n">
        <v>6</v>
      </c>
      <c r="T112" s="21" t="n">
        <v>6</v>
      </c>
      <c r="U112" s="21" t="n"/>
      <c r="V112" s="21" t="n"/>
      <c r="W112" s="21" t="n"/>
      <c r="X112" s="21" t="n"/>
    </row>
    <row r="113" ht="15" customHeight="1" s="19">
      <c r="A113" s="24" t="n">
        <v>112</v>
      </c>
      <c r="B113" s="24" t="inlineStr">
        <is>
          <t>Decorative</t>
        </is>
      </c>
      <c r="C113" s="24" t="n">
        <v>6</v>
      </c>
      <c r="D113" s="24" t="inlineStr">
        <is>
          <t>Clear</t>
        </is>
      </c>
      <c r="E113" s="24" t="inlineStr">
        <is>
          <t>Cap/Closure</t>
        </is>
      </c>
      <c r="F113" s="24" t="inlineStr">
        <is>
          <t>14.3mm</t>
        </is>
      </c>
      <c r="G113" s="24" t="inlineStr">
        <is>
          <t>6 ml Clear Tola Bottle</t>
        </is>
      </c>
      <c r="H113" s="24" t="inlineStr">
        <is>
          <t>Glass Bottle</t>
        </is>
      </c>
      <c r="I113" s="24" t="inlineStr">
        <is>
          <t>Decorative</t>
        </is>
      </c>
      <c r="J113" s="24" t="inlineStr">
        <is>
          <t>tola-6ml-clear-14.3mm</t>
        </is>
      </c>
      <c r="K113" s="24" t="inlineStr">
        <is>
          <t>kh7c0h1pssagf5th1fp9j1hm2183k6fd</t>
        </is>
      </c>
      <c r="L113" s="24" t="inlineStr">
        <is>
          <t>GB-DEC-CLR-6ML-T</t>
        </is>
      </c>
      <c r="M113" s="24" t="inlineStr">
        <is>
          <t>GB6TPlGl</t>
        </is>
      </c>
      <c r="N113" s="24" t="inlineStr">
        <is>
          <t>GB6TPlGl</t>
        </is>
      </c>
      <c r="O113" s="25" t="inlineStr">
        <is>
          <t>https://www.bestbottles.com/product/Octagonal-style-6-ml-glass-bottle-shiny-gold-cap-red-bead</t>
        </is>
      </c>
      <c r="P113" s="23" t="inlineStr">
        <is>
          <t>No</t>
        </is>
      </c>
      <c r="Q113" s="24" t="n"/>
      <c r="R113" s="24" t="n">
        <v>1</v>
      </c>
      <c r="S113" s="24" t="n">
        <v>0.55</v>
      </c>
      <c r="T113" s="24" t="n">
        <v>0.55</v>
      </c>
      <c r="U113" s="24" t="n"/>
      <c r="V113" s="24" t="n"/>
      <c r="W113" s="24" t="n"/>
      <c r="X113" s="24" t="n"/>
    </row>
    <row r="114" ht="15" customHeight="1" s="19">
      <c r="A114" s="21" t="n">
        <v>113</v>
      </c>
      <c r="B114" s="21" t="inlineStr">
        <is>
          <t>Decorative</t>
        </is>
      </c>
      <c r="C114" s="21" t="n">
        <v>10</v>
      </c>
      <c r="D114" s="21" t="inlineStr">
        <is>
          <t>Clear</t>
        </is>
      </c>
      <c r="E114" s="21" t="inlineStr">
        <is>
          <t>Cap/Closure</t>
        </is>
      </c>
      <c r="F114" s="21" t="inlineStr">
        <is>
          <t>17.52mm</t>
        </is>
      </c>
      <c r="G114" s="21" t="inlineStr">
        <is>
          <t>10 ml Clear Marble Bottle</t>
        </is>
      </c>
      <c r="H114" s="21" t="inlineStr">
        <is>
          <t>Glass Bottle</t>
        </is>
      </c>
      <c r="I114" s="21" t="inlineStr">
        <is>
          <t>Decorative</t>
        </is>
      </c>
      <c r="J114" s="21" t="inlineStr">
        <is>
          <t>marble-10ml-clear-17.52mm</t>
        </is>
      </c>
      <c r="K114" s="21" t="inlineStr">
        <is>
          <t>kh7174vq7jwfqy5vgtgz62qteh83kh65</t>
        </is>
      </c>
      <c r="L114" s="21" t="inlineStr">
        <is>
          <t>GB-DEC-CLR-10ML-T</t>
        </is>
      </c>
      <c r="M114" s="21" t="inlineStr">
        <is>
          <t>GBMtlMrblLarge</t>
        </is>
      </c>
      <c r="N114" s="21" t="inlineStr">
        <is>
          <t>GBMtlMrblLarge</t>
        </is>
      </c>
      <c r="O114" s="22" t="inlineStr">
        <is>
          <t>https://www.bestbottles.com/product/Small-decorative-Perfume-bottle-marble-decoration-crystal-top-15ml</t>
        </is>
      </c>
      <c r="P114" s="23" t="inlineStr">
        <is>
          <t>No</t>
        </is>
      </c>
      <c r="Q114" s="21" t="n"/>
      <c r="R114" s="21" t="n">
        <v>1</v>
      </c>
      <c r="S114" s="21" t="n">
        <v>7</v>
      </c>
      <c r="T114" s="21" t="n">
        <v>7</v>
      </c>
      <c r="U114" s="21" t="n"/>
      <c r="V114" s="21" t="n"/>
      <c r="W114" s="21" t="n"/>
      <c r="X114" s="21" t="n"/>
    </row>
    <row r="115" ht="15" customHeight="1" s="19">
      <c r="A115" s="24" t="n">
        <v>114</v>
      </c>
      <c r="B115" s="24" t="inlineStr">
        <is>
          <t>Decorative</t>
        </is>
      </c>
      <c r="C115" s="24" t="n">
        <v>32</v>
      </c>
      <c r="D115" s="24" t="inlineStr">
        <is>
          <t>Clear</t>
        </is>
      </c>
      <c r="E115" s="24" t="inlineStr">
        <is>
          <t>Cap/Closure</t>
        </is>
      </c>
      <c r="F115" s="24" t="inlineStr">
        <is>
          <t>Ground</t>
        </is>
      </c>
      <c r="G115" s="24" t="inlineStr">
        <is>
          <t>32 ml Clear Genie Bottle</t>
        </is>
      </c>
      <c r="H115" s="24" t="inlineStr">
        <is>
          <t>Glass Bottle</t>
        </is>
      </c>
      <c r="I115" s="24" t="inlineStr">
        <is>
          <t>Decorative</t>
        </is>
      </c>
      <c r="J115" s="24" t="inlineStr">
        <is>
          <t>genie-32ml-clear-Ground</t>
        </is>
      </c>
      <c r="K115" s="24" t="inlineStr">
        <is>
          <t>kh78va9jmbz84cx2bywhptkgr183k7wn</t>
        </is>
      </c>
      <c r="L115" s="24" t="inlineStr">
        <is>
          <t>GB-GNI-CLR-32ML</t>
        </is>
      </c>
      <c r="M115" s="24" t="inlineStr">
        <is>
          <t>GB1ozGenieCl</t>
        </is>
      </c>
      <c r="N115" s="24" t="inlineStr">
        <is>
          <t>GB1ozGenieCl</t>
        </is>
      </c>
      <c r="O115" s="25" t="inlineStr">
        <is>
          <t>https://www.bestbottles.com/product/Genie-style-clear-glass-cylindrical-1oz-glass-stopper</t>
        </is>
      </c>
      <c r="P115" s="23" t="inlineStr">
        <is>
          <t>No</t>
        </is>
      </c>
      <c r="Q115" s="24" t="n"/>
      <c r="R115" s="24" t="n">
        <v>1</v>
      </c>
      <c r="S115" s="24" t="n">
        <v>4.95</v>
      </c>
      <c r="T115" s="24" t="n">
        <v>4.95</v>
      </c>
      <c r="U115" s="24" t="n"/>
      <c r="V115" s="24" t="n"/>
      <c r="W115" s="24" t="n"/>
      <c r="X115" s="24" t="n"/>
    </row>
    <row r="116" ht="15" customHeight="1" s="19">
      <c r="A116" s="21" t="n">
        <v>115</v>
      </c>
      <c r="B116" s="21" t="inlineStr">
        <is>
          <t>Decorative</t>
        </is>
      </c>
      <c r="C116" s="21" t="n">
        <v>32</v>
      </c>
      <c r="D116" s="21" t="inlineStr">
        <is>
          <t>Cobalt Blue</t>
        </is>
      </c>
      <c r="E116" s="21" t="inlineStr">
        <is>
          <t>Cap/Closure</t>
        </is>
      </c>
      <c r="F116" s="21" t="inlineStr">
        <is>
          <t>Ground</t>
        </is>
      </c>
      <c r="G116" s="21" t="inlineStr">
        <is>
          <t>32 ml Cobalt Blue Genie Bottle</t>
        </is>
      </c>
      <c r="H116" s="21" t="inlineStr">
        <is>
          <t>Glass Bottle</t>
        </is>
      </c>
      <c r="I116" s="21" t="inlineStr">
        <is>
          <t>Decorative</t>
        </is>
      </c>
      <c r="J116" s="21" t="inlineStr">
        <is>
          <t>genie-32ml-cobalt-blue-Ground</t>
        </is>
      </c>
      <c r="K116" s="21" t="inlineStr">
        <is>
          <t>kh7b6wdkjark4a2m4pggq8p7mh83j6fv</t>
        </is>
      </c>
      <c r="L116" s="21" t="inlineStr">
        <is>
          <t>GB-GNI-BLU-32ML</t>
        </is>
      </c>
      <c r="M116" s="21" t="inlineStr">
        <is>
          <t>GB1ozGenieBl</t>
        </is>
      </c>
      <c r="N116" s="21" t="inlineStr">
        <is>
          <t>GB1ozGenieBl</t>
        </is>
      </c>
      <c r="O116" s="22" t="inlineStr">
        <is>
          <t>https://www.bestbottles.com/product/Genie-style-Blue-glass-jar-cylindrical-1oz-glass-stopper</t>
        </is>
      </c>
      <c r="P116" s="23" t="inlineStr">
        <is>
          <t>No</t>
        </is>
      </c>
      <c r="Q116" s="21" t="n"/>
      <c r="R116" s="21" t="n">
        <v>1</v>
      </c>
      <c r="S116" s="21" t="n">
        <v>4.95</v>
      </c>
      <c r="T116" s="21" t="n">
        <v>4.95</v>
      </c>
      <c r="U116" s="21" t="n"/>
      <c r="V116" s="21" t="n"/>
      <c r="W116" s="21" t="n"/>
      <c r="X116" s="21" t="n"/>
    </row>
    <row r="117" ht="15" customHeight="1" s="19">
      <c r="A117" s="24" t="n">
        <v>116</v>
      </c>
      <c r="B117" s="24" t="inlineStr">
        <is>
          <t>Decorative</t>
        </is>
      </c>
      <c r="C117" s="24" t="n">
        <v>35</v>
      </c>
      <c r="D117" s="24" t="inlineStr">
        <is>
          <t>Clear</t>
        </is>
      </c>
      <c r="E117" s="24" t="inlineStr">
        <is>
          <t>Cap/Closure</t>
        </is>
      </c>
      <c r="F117" s="24" t="inlineStr">
        <is>
          <t>Ground</t>
        </is>
      </c>
      <c r="G117" s="24" t="inlineStr">
        <is>
          <t>35 ml Clear Eternal Flame Bottle</t>
        </is>
      </c>
      <c r="H117" s="24" t="inlineStr">
        <is>
          <t>Glass Bottle</t>
        </is>
      </c>
      <c r="I117" s="24" t="inlineStr">
        <is>
          <t>Decorative</t>
        </is>
      </c>
      <c r="J117" s="24" t="inlineStr">
        <is>
          <t>eternal-flame-35ml-clear-Ground</t>
        </is>
      </c>
      <c r="K117" s="24" t="inlineStr">
        <is>
          <t>kh70vyhmd3ja1mskygx5rwgfcs83j49m</t>
        </is>
      </c>
      <c r="L117" s="24" t="inlineStr">
        <is>
          <t>GB-ETF-CLR-35ML</t>
        </is>
      </c>
      <c r="M117" s="24" t="inlineStr">
        <is>
          <t>GBEternalFlameClear</t>
        </is>
      </c>
      <c r="N117" s="24" t="inlineStr">
        <is>
          <t>GBEternalFlameClear</t>
        </is>
      </c>
      <c r="O117" s="25" t="inlineStr">
        <is>
          <t>https://www.bestbottles.com/product/Clear-glass-perfume-Bottle-container-eternal-flame-glass-stopper</t>
        </is>
      </c>
      <c r="P117" s="23" t="inlineStr">
        <is>
          <t>No</t>
        </is>
      </c>
      <c r="Q117" s="24" t="n"/>
      <c r="R117" s="24" t="n">
        <v>1</v>
      </c>
      <c r="S117" s="24" t="n">
        <v>5.45</v>
      </c>
      <c r="T117" s="24" t="n">
        <v>5.45</v>
      </c>
      <c r="U117" s="24" t="n"/>
      <c r="V117" s="24" t="n"/>
      <c r="W117" s="24" t="n"/>
      <c r="X117" s="24" t="n"/>
    </row>
    <row r="118" ht="15" customHeight="1" s="19">
      <c r="A118" s="21" t="n">
        <v>117</v>
      </c>
      <c r="B118" s="21" t="inlineStr">
        <is>
          <t>Decorative</t>
        </is>
      </c>
      <c r="C118" s="21" t="n">
        <v>35</v>
      </c>
      <c r="D118" s="21" t="inlineStr">
        <is>
          <t>Cobalt Blue</t>
        </is>
      </c>
      <c r="E118" s="21" t="inlineStr">
        <is>
          <t>Cap/Closure</t>
        </is>
      </c>
      <c r="F118" s="21" t="inlineStr">
        <is>
          <t>Ground</t>
        </is>
      </c>
      <c r="G118" s="21" t="inlineStr">
        <is>
          <t>35 ml Cobalt Blue Eternal Flame Bottle</t>
        </is>
      </c>
      <c r="H118" s="21" t="inlineStr">
        <is>
          <t>Glass Bottle</t>
        </is>
      </c>
      <c r="I118" s="21" t="inlineStr">
        <is>
          <t>Decorative</t>
        </is>
      </c>
      <c r="J118" s="21" t="inlineStr">
        <is>
          <t>eternal-flame-35ml-cobalt-blue-Ground</t>
        </is>
      </c>
      <c r="K118" s="21" t="inlineStr">
        <is>
          <t>kh7bt086t5q9hwy3n3qcmwy0x983jgak</t>
        </is>
      </c>
      <c r="L118" s="21" t="inlineStr">
        <is>
          <t>GB-ETF-BLU-35ML</t>
        </is>
      </c>
      <c r="M118" s="21" t="inlineStr">
        <is>
          <t>GBEternalFlameBlue</t>
        </is>
      </c>
      <c r="N118" s="21" t="inlineStr">
        <is>
          <t>GBEternalFlameBlue</t>
        </is>
      </c>
      <c r="O118" s="22" t="inlineStr">
        <is>
          <t>https://www.bestbottles.com/product/Blue-glass-perfume-bottle-container-eternal-flame-glass-stopper</t>
        </is>
      </c>
      <c r="P118" s="23" t="inlineStr">
        <is>
          <t>No</t>
        </is>
      </c>
      <c r="Q118" s="21" t="n"/>
      <c r="R118" s="21" t="n">
        <v>1</v>
      </c>
      <c r="S118" s="21" t="n">
        <v>5.45</v>
      </c>
      <c r="T118" s="21" t="n">
        <v>5.45</v>
      </c>
      <c r="U118" s="21" t="n"/>
      <c r="V118" s="21" t="n"/>
      <c r="W118" s="21" t="n"/>
      <c r="X118" s="21" t="n"/>
    </row>
    <row r="119" ht="15" customHeight="1" s="19">
      <c r="A119" s="24" t="n">
        <v>118</v>
      </c>
      <c r="B119" s="24" t="inlineStr">
        <is>
          <t>Decorative</t>
        </is>
      </c>
      <c r="C119" s="24" t="n">
        <v>35</v>
      </c>
      <c r="D119" s="24" t="inlineStr">
        <is>
          <t>Green</t>
        </is>
      </c>
      <c r="E119" s="24" t="inlineStr">
        <is>
          <t>Cap/Closure</t>
        </is>
      </c>
      <c r="F119" s="24" t="inlineStr">
        <is>
          <t>Ground</t>
        </is>
      </c>
      <c r="G119" s="24" t="inlineStr">
        <is>
          <t>35 ml Green Eternal Flame Bottle</t>
        </is>
      </c>
      <c r="H119" s="24" t="inlineStr">
        <is>
          <t>Glass Bottle</t>
        </is>
      </c>
      <c r="I119" s="24" t="inlineStr">
        <is>
          <t>Decorative</t>
        </is>
      </c>
      <c r="J119" s="24" t="inlineStr">
        <is>
          <t>eternal-flame-35ml-green-Ground</t>
        </is>
      </c>
      <c r="K119" s="24" t="inlineStr">
        <is>
          <t>kh77w06j4cnjw2b20jdcgmzv2583jvxg</t>
        </is>
      </c>
      <c r="L119" s="24" t="inlineStr">
        <is>
          <t>GB-ETF-GRN-35ML</t>
        </is>
      </c>
      <c r="M119" s="24" t="inlineStr">
        <is>
          <t>GBEternalFlameGreen</t>
        </is>
      </c>
      <c r="N119" s="24" t="inlineStr">
        <is>
          <t>GBEternalFlameGreen</t>
        </is>
      </c>
      <c r="O119" s="25" t="inlineStr">
        <is>
          <t>https://www.bestbottles.com/product/Green-glass-perfume-Bottle-container-eternal-flame-glass-stopper</t>
        </is>
      </c>
      <c r="P119" s="23" t="inlineStr">
        <is>
          <t>No</t>
        </is>
      </c>
      <c r="Q119" s="24" t="n"/>
      <c r="R119" s="24" t="n">
        <v>1</v>
      </c>
      <c r="S119" s="24" t="n">
        <v>5.45</v>
      </c>
      <c r="T119" s="24" t="n">
        <v>5.45</v>
      </c>
      <c r="U119" s="24" t="n"/>
      <c r="V119" s="24" t="n"/>
      <c r="W119" s="24" t="n"/>
      <c r="X119" s="24" t="n"/>
    </row>
    <row r="120" ht="15" customHeight="1" s="19">
      <c r="A120" s="21" t="n">
        <v>119</v>
      </c>
      <c r="B120" s="21" t="inlineStr">
        <is>
          <t>Decorative</t>
        </is>
      </c>
      <c r="C120" s="21" t="n">
        <v>355</v>
      </c>
      <c r="D120" s="21" t="inlineStr">
        <is>
          <t>Clear</t>
        </is>
      </c>
      <c r="E120" s="21" t="inlineStr">
        <is>
          <t>Glass Stopper</t>
        </is>
      </c>
      <c r="F120" s="21" t="inlineStr">
        <is>
          <t>Ground</t>
        </is>
      </c>
      <c r="G120" s="21" t="inlineStr">
        <is>
          <t>355 ml Clear Pear Bottle with Stopper</t>
        </is>
      </c>
      <c r="H120" s="21" t="inlineStr">
        <is>
          <t>Glass Bottle</t>
        </is>
      </c>
      <c r="I120" s="21" t="inlineStr">
        <is>
          <t>Decorative</t>
        </is>
      </c>
      <c r="J120" s="21" t="inlineStr">
        <is>
          <t>pear-355ml-clear-Ground-glassapplicator</t>
        </is>
      </c>
      <c r="K120" s="21" t="inlineStr">
        <is>
          <t>kh77gsd9vy48b8cee1sb421sm983k2rp</t>
        </is>
      </c>
      <c r="L120" s="21" t="inlineStr">
        <is>
          <t>GB-DEC-CLR-355ML-T</t>
        </is>
      </c>
      <c r="M120" s="21" t="inlineStr">
        <is>
          <t>GBCB12ozPear</t>
        </is>
      </c>
      <c r="N120" s="21" t="inlineStr">
        <is>
          <t>GBCB12ozPear</t>
        </is>
      </c>
      <c r="O120" s="22" t="inlineStr">
        <is>
          <t>https://www.bestbottles.com/product/Apothecary-style-clear-glass-bottle-Pear-12oz-glass-bottle-stopper</t>
        </is>
      </c>
      <c r="P120" s="23" t="inlineStr">
        <is>
          <t>No</t>
        </is>
      </c>
      <c r="Q120" s="21" t="n"/>
      <c r="R120" s="21" t="n">
        <v>1</v>
      </c>
      <c r="S120" s="21" t="n">
        <v>7.7</v>
      </c>
      <c r="T120" s="21" t="n">
        <v>7.7</v>
      </c>
      <c r="U120" s="21" t="n"/>
      <c r="V120" s="21" t="n"/>
      <c r="W120" s="21" t="n"/>
      <c r="X120" s="21" t="n"/>
    </row>
    <row r="121" ht="15" customHeight="1" s="19">
      <c r="A121" s="24" t="n">
        <v>120</v>
      </c>
      <c r="B121" s="24" t="inlineStr">
        <is>
          <t>Diamond</t>
        </is>
      </c>
      <c r="C121" s="24" t="n">
        <v>60</v>
      </c>
      <c r="D121" s="24" t="inlineStr">
        <is>
          <t>Clear</t>
        </is>
      </c>
      <c r="E121" s="24" t="inlineStr">
        <is>
          <t>Lotion Pump</t>
        </is>
      </c>
      <c r="F121" s="24" t="inlineStr">
        <is>
          <t>18-415</t>
        </is>
      </c>
      <c r="G121" s="24" t="inlineStr">
        <is>
          <t>60 ml Clear Diamond Lotion Pump Bottle</t>
        </is>
      </c>
      <c r="H121" s="24" t="inlineStr">
        <is>
          <t>Glass Bottle</t>
        </is>
      </c>
      <c r="I121" s="24" t="inlineStr">
        <is>
          <t>Diamond</t>
        </is>
      </c>
      <c r="J121" s="24" t="inlineStr">
        <is>
          <t>diamond-60ml-clear-18-415-lotionpump</t>
        </is>
      </c>
      <c r="K121" s="24" t="inlineStr">
        <is>
          <t>kh7anxmc1b52yvwfpc3ds4w87583k2d1</t>
        </is>
      </c>
      <c r="L121" s="24" t="inlineStr">
        <is>
          <t>LB-DMD-CLR-60ML-LPM-MGLD</t>
        </is>
      </c>
      <c r="M121" s="24" t="inlineStr">
        <is>
          <t>LBDmnd2ozLtnMtGl</t>
        </is>
      </c>
      <c r="N121" s="24" t="inlineStr">
        <is>
          <t>LBDmnd2ozLtnMtGl, LBDmnd2ozLtnShnGl, LBDmnd2ozLtnShnBlk, LBDmnd2ozLtnMtSl, LBDmnd2ozLtnShnSl, LBDmnd2ozLtnCu, LBDmnd2ozLtnClOvrCap</t>
        </is>
      </c>
      <c r="O121" s="25" t="inlineStr">
        <is>
          <t>https://www.bestbottles.com/product/diamond-design-2-oz-glass-bottle-matte-gold-lotion-pump-and-cap</t>
        </is>
      </c>
      <c r="P121" s="23" t="inlineStr">
        <is>
          <t>No</t>
        </is>
      </c>
      <c r="Q121" s="24" t="n"/>
      <c r="R121" s="24" t="n">
        <v>7</v>
      </c>
      <c r="S121" s="24" t="n">
        <v>2.9</v>
      </c>
      <c r="T121" s="24" t="n">
        <v>2.9</v>
      </c>
      <c r="U121" s="24" t="n"/>
      <c r="V121" s="24" t="n"/>
      <c r="W121" s="24" t="n"/>
      <c r="X121" s="24" t="n"/>
    </row>
    <row r="122" ht="15" customHeight="1" s="19">
      <c r="A122" s="21" t="n">
        <v>121</v>
      </c>
      <c r="B122" s="21" t="inlineStr">
        <is>
          <t>Diamond</t>
        </is>
      </c>
      <c r="C122" s="21" t="n">
        <v>60</v>
      </c>
      <c r="D122" s="21" t="inlineStr">
        <is>
          <t>Clear</t>
        </is>
      </c>
      <c r="E122" s="21" t="inlineStr">
        <is>
          <t>Perfume Spray Pump</t>
        </is>
      </c>
      <c r="F122" s="21" t="inlineStr">
        <is>
          <t>18-415</t>
        </is>
      </c>
      <c r="G122" s="21" t="inlineStr">
        <is>
          <t>60 ml Clear Diamond Bottle</t>
        </is>
      </c>
      <c r="H122" s="21" t="inlineStr">
        <is>
          <t>Glass Bottle</t>
        </is>
      </c>
      <c r="I122" s="21" t="inlineStr">
        <is>
          <t>Diamond</t>
        </is>
      </c>
      <c r="J122" s="21" t="inlineStr">
        <is>
          <t>diamond-60ml-clear-18-415-perfumespray</t>
        </is>
      </c>
      <c r="K122" s="21" t="inlineStr">
        <is>
          <t>kh77w7w9j7638hznvbmyrra44583kpy9</t>
        </is>
      </c>
      <c r="L122" s="21" t="inlineStr">
        <is>
          <t>GB-DMD-CLR-60ML-SPR-SGLD</t>
        </is>
      </c>
      <c r="M122" s="21" t="inlineStr">
        <is>
          <t>GBDmnd2ozSpryShnGl</t>
        </is>
      </c>
      <c r="N122" s="21" t="inlineStr">
        <is>
          <t>GBDmnd2ozSpryShnGl, GBDmnd2ozSpryMtSl, GBDmnd2ozSpryMtGl, GBDmnd2ozSpryShnBlk, GBDmnd2ozSpryShnSl, GBDmnd2ozSpryCu</t>
        </is>
      </c>
      <c r="O122" s="22" t="inlineStr">
        <is>
          <t>https://www.bestbottles.com/product/diamond-design-2-oz-glass-bottle-shiny-gold-spray-pump-and-cap</t>
        </is>
      </c>
      <c r="P122" s="23" t="inlineStr">
        <is>
          <t>No</t>
        </is>
      </c>
      <c r="Q122" s="21" t="n"/>
      <c r="R122" s="21" t="n">
        <v>6</v>
      </c>
      <c r="S122" s="21" t="n">
        <v>2.9</v>
      </c>
      <c r="T122" s="21" t="n">
        <v>2.9</v>
      </c>
      <c r="U122" s="21" t="n"/>
      <c r="V122" s="21" t="n"/>
      <c r="W122" s="21" t="n"/>
      <c r="X122" s="21" t="n"/>
    </row>
    <row r="123" ht="15" customHeight="1" s="19">
      <c r="A123" s="24" t="n">
        <v>122</v>
      </c>
      <c r="B123" s="24" t="inlineStr">
        <is>
          <t>Diamond</t>
        </is>
      </c>
      <c r="C123" s="24" t="n">
        <v>60</v>
      </c>
      <c r="D123" s="24" t="inlineStr">
        <is>
          <t>Clear</t>
        </is>
      </c>
      <c r="E123" s="24" t="inlineStr">
        <is>
          <t>Reducer</t>
        </is>
      </c>
      <c r="F123" s="24" t="inlineStr">
        <is>
          <t>18-415</t>
        </is>
      </c>
      <c r="G123" s="24" t="inlineStr">
        <is>
          <t>60 ml Clear Diamond Reducer Bottle</t>
        </is>
      </c>
      <c r="H123" s="24" t="inlineStr">
        <is>
          <t>Glass Bottle</t>
        </is>
      </c>
      <c r="I123" s="24" t="inlineStr">
        <is>
          <t>Diamond</t>
        </is>
      </c>
      <c r="J123" s="24" t="inlineStr">
        <is>
          <t>diamond-60ml-clear-18-415-reducer</t>
        </is>
      </c>
      <c r="K123" s="24" t="inlineStr">
        <is>
          <t>kh7fvz8tbjz2d368fypy0wbmms83kcne</t>
        </is>
      </c>
      <c r="L123" s="24" t="inlineStr">
        <is>
          <t>GB-DMD-CLR-60ML-RDC-BKLT</t>
        </is>
      </c>
      <c r="M123" s="24" t="inlineStr">
        <is>
          <t>GBDmnd2ozRdcrBlkLthr</t>
        </is>
      </c>
      <c r="N123" s="24" t="inlineStr">
        <is>
          <t>GBDmnd2ozRdcrBlkLthr, GBDmnd2ozRdcrWht, GBDmnd2ozRdcrIvyLthr, GBDmnd2ozRdcrPnkLthr, GBDmnd2ozRdcrShnGl, GBDmnd2ozRdcrShnBlkTall, GBDmnd2ozRdcrBrwnLthr, GBDmnd2ozRdcrLBrwnLthr, GBDmnd2ozRdcrShnSl, GBDmnd2ozRdcrMtSlTall, GBDmnd2ozRdcrMtSl, GBDmnd2ozRdcrShnBlk</t>
        </is>
      </c>
      <c r="O123" s="25" t="inlineStr">
        <is>
          <t>https://www.bestbottles.com/product/diamond-design-2-oz-glass-bottle-reducer-black-faux-leather-cap</t>
        </is>
      </c>
      <c r="P123" s="23" t="inlineStr">
        <is>
          <t>No</t>
        </is>
      </c>
      <c r="Q123" s="24" t="n"/>
      <c r="R123" s="24" t="n">
        <v>12</v>
      </c>
      <c r="S123" s="24" t="n">
        <v>1.87</v>
      </c>
      <c r="T123" s="24" t="n">
        <v>2.15</v>
      </c>
      <c r="U123" s="24" t="n"/>
      <c r="V123" s="24" t="n"/>
      <c r="W123" s="24" t="n"/>
      <c r="X123" s="24" t="n"/>
    </row>
    <row r="124" ht="15" customHeight="1" s="19">
      <c r="A124" s="21" t="n">
        <v>123</v>
      </c>
      <c r="B124" s="21" t="inlineStr">
        <is>
          <t>Diamond</t>
        </is>
      </c>
      <c r="C124" s="21" t="n">
        <v>60</v>
      </c>
      <c r="D124" s="21" t="inlineStr">
        <is>
          <t>Clear</t>
        </is>
      </c>
      <c r="E124" s="21" t="inlineStr">
        <is>
          <t>Vintage Bulb Sprayer</t>
        </is>
      </c>
      <c r="F124" s="21" t="inlineStr">
        <is>
          <t>18-415</t>
        </is>
      </c>
      <c r="G124" s="21" t="inlineStr">
        <is>
          <t>60 ml Clear Diamond Vintage Bulb Spray Bottle</t>
        </is>
      </c>
      <c r="H124" s="21" t="inlineStr">
        <is>
          <t>Glass Bottle</t>
        </is>
      </c>
      <c r="I124" s="21" t="inlineStr">
        <is>
          <t>Diamond</t>
        </is>
      </c>
      <c r="J124" s="21" t="inlineStr">
        <is>
          <t>diamond-60ml-clear-18-415-antiquespray</t>
        </is>
      </c>
      <c r="K124" s="21" t="inlineStr">
        <is>
          <t>kh7681ts35z12h1pyyn36xmga983k18g</t>
        </is>
      </c>
      <c r="L124" s="21" t="inlineStr">
        <is>
          <t>GB-DMD-CLR-60ML-ASP-PNK</t>
        </is>
      </c>
      <c r="M124" s="21" t="inlineStr">
        <is>
          <t>GBDmnd2ozAnSpPnk</t>
        </is>
      </c>
      <c r="N124" s="21" t="inlineStr">
        <is>
          <t>GBDmnd2ozAnSpPnk, GBDmnd2ozAnSpIvyGl, GBDmnd2ozAnSpLvn, GBDmnd2ozAnSpGl, GBDmnd2ozAnSpRed, GBDmnd2ozAnSpIvySl, GBDmnd2ozAnSpMtSl, GBDmnd2ozAnSpWht, GBDmnd2ozAnSpBlk</t>
        </is>
      </c>
      <c r="O124" s="22" t="inlineStr">
        <is>
          <t>https://www.bestbottles.com/product/diamond-design-2-oz-glass-bottle-pink-vintage-style-bulb-sprayer-shiny-gold-collar-cap</t>
        </is>
      </c>
      <c r="P124" s="23" t="inlineStr">
        <is>
          <t>No</t>
        </is>
      </c>
      <c r="Q124" s="21" t="n"/>
      <c r="R124" s="21" t="n">
        <v>9</v>
      </c>
      <c r="S124" s="21" t="n">
        <v>5.75</v>
      </c>
      <c r="T124" s="21" t="n">
        <v>5.75</v>
      </c>
      <c r="U124" s="21" t="n"/>
      <c r="V124" s="21" t="n"/>
      <c r="W124" s="21" t="n"/>
      <c r="X124" s="21" t="n"/>
    </row>
    <row r="125" ht="15" customHeight="1" s="19">
      <c r="A125" s="24" t="n">
        <v>124</v>
      </c>
      <c r="B125" s="24" t="inlineStr">
        <is>
          <t>Diamond</t>
        </is>
      </c>
      <c r="C125" s="24" t="n">
        <v>60</v>
      </c>
      <c r="D125" s="24" t="inlineStr">
        <is>
          <t>Clear</t>
        </is>
      </c>
      <c r="E125" s="24" t="inlineStr">
        <is>
          <t>Vintage Bulb Sprayer with Tassel</t>
        </is>
      </c>
      <c r="F125" s="24" t="inlineStr">
        <is>
          <t>18-415</t>
        </is>
      </c>
      <c r="G125" s="24" t="inlineStr">
        <is>
          <t>60 ml Clear Diamond Vintage Bulb Spray Bottle with Tassel</t>
        </is>
      </c>
      <c r="H125" s="24" t="inlineStr">
        <is>
          <t>Glass Bottle</t>
        </is>
      </c>
      <c r="I125" s="24" t="inlineStr">
        <is>
          <t>Diamond</t>
        </is>
      </c>
      <c r="J125" s="24" t="inlineStr">
        <is>
          <t>diamond-60ml-clear-18-415-antiquespray-tassel</t>
        </is>
      </c>
      <c r="K125" s="24" t="inlineStr">
        <is>
          <t>kh763vg0809tkvvr8zer8w0vf183km2n</t>
        </is>
      </c>
      <c r="L125" s="24" t="inlineStr">
        <is>
          <t>GB-DMD-CLR-60ML-AST-GLD</t>
        </is>
      </c>
      <c r="M125" s="24" t="inlineStr">
        <is>
          <t>GBDmnd2ozAnSpTslGl</t>
        </is>
      </c>
      <c r="N125" s="24" t="inlineStr">
        <is>
          <t>GBDmnd2ozAnSpTslGl, GBDmnd2ozAnSpTslIvyGl, GBDmnd2ozAnSpTslIvySl, GBDmnd2ozAnSpTslLvn, GBDmnd2ozAnSpTslPnk, GBDmnd2ozAnSpTslRed, GBDmnd2ozAnSpTslWht, GBDmnd2ozAnSpTslMtSl, GBDmnd2ozAnSpTslBlk</t>
        </is>
      </c>
      <c r="O125" s="25" t="inlineStr">
        <is>
          <t>https://www.bestbottles.com/product/diamond-design-2-oz-glass-bottle-gold-vintage-style-sprayer-with-tassel-shiny-gold-collar</t>
        </is>
      </c>
      <c r="P125" s="23" t="inlineStr">
        <is>
          <t>No</t>
        </is>
      </c>
      <c r="Q125" s="24" t="n"/>
      <c r="R125" s="24" t="n">
        <v>9</v>
      </c>
      <c r="S125" s="24" t="n">
        <v>6.5</v>
      </c>
      <c r="T125" s="24" t="n">
        <v>6.5</v>
      </c>
      <c r="U125" s="24" t="n"/>
      <c r="V125" s="24" t="n"/>
      <c r="W125" s="24" t="n"/>
      <c r="X125" s="24" t="n"/>
    </row>
    <row r="126" ht="15" customHeight="1" s="19">
      <c r="A126" s="21" t="n">
        <v>125</v>
      </c>
      <c r="B126" s="21" t="inlineStr">
        <is>
          <t>Diva</t>
        </is>
      </c>
      <c r="C126" s="21" t="n">
        <v>30</v>
      </c>
      <c r="D126" s="21" t="inlineStr">
        <is>
          <t>Clear</t>
        </is>
      </c>
      <c r="E126" s="21" t="inlineStr">
        <is>
          <t>Lotion Pump</t>
        </is>
      </c>
      <c r="F126" s="21" t="inlineStr">
        <is>
          <t>18-415</t>
        </is>
      </c>
      <c r="G126" s="21" t="inlineStr">
        <is>
          <t>30 ml Clear Diva Lotion Pump Bottle</t>
        </is>
      </c>
      <c r="H126" s="21" t="inlineStr">
        <is>
          <t>Glass Bottle</t>
        </is>
      </c>
      <c r="I126" s="21" t="inlineStr">
        <is>
          <t>Diva</t>
        </is>
      </c>
      <c r="J126" s="21" t="inlineStr">
        <is>
          <t>diva-30ml-clear-18-415-lotionpump</t>
        </is>
      </c>
      <c r="K126" s="21" t="inlineStr">
        <is>
          <t>kh7bqwpyf7y64x6f5h591gcq5583k7tx</t>
        </is>
      </c>
      <c r="L126" s="21" t="inlineStr">
        <is>
          <t>LB-DVA-CLR-30ML-LPM-MGLD</t>
        </is>
      </c>
      <c r="M126" s="21" t="inlineStr">
        <is>
          <t>LBDiva30LtnMtGl</t>
        </is>
      </c>
      <c r="N126" s="21" t="inlineStr">
        <is>
          <t>LBDiva30LtnMtGl, LBDiva30LtnShnGl, LBDiva30LtnShnBlk, LBDiva30LtnMtSl, LBDiva30LtnShnSl, LBDiva30LtnCu</t>
        </is>
      </c>
      <c r="O126" s="22" t="inlineStr">
        <is>
          <t>https://www.bestbottles.com/product/diva-design-30-ml-glass-bottle-matte-gold-lotion-pump-and-cap</t>
        </is>
      </c>
      <c r="P126" s="23" t="inlineStr">
        <is>
          <t>No</t>
        </is>
      </c>
      <c r="Q126" s="21" t="n"/>
      <c r="R126" s="21" t="n">
        <v>7</v>
      </c>
      <c r="S126" s="21" t="n">
        <v>3.05</v>
      </c>
      <c r="T126" s="21" t="n">
        <v>3.05</v>
      </c>
      <c r="U126" s="21" t="n"/>
      <c r="V126" s="21" t="n"/>
      <c r="W126" s="21" t="n"/>
      <c r="X126" s="21" t="n"/>
    </row>
    <row r="127" ht="15" customHeight="1" s="19">
      <c r="A127" s="24" t="n">
        <v>126</v>
      </c>
      <c r="B127" s="24" t="inlineStr">
        <is>
          <t>Diva</t>
        </is>
      </c>
      <c r="C127" s="24" t="n">
        <v>30</v>
      </c>
      <c r="D127" s="24" t="inlineStr">
        <is>
          <t>Clear</t>
        </is>
      </c>
      <c r="E127" s="24" t="inlineStr">
        <is>
          <t>Perfume Spray Pump</t>
        </is>
      </c>
      <c r="F127" s="24" t="inlineStr">
        <is>
          <t>18-415</t>
        </is>
      </c>
      <c r="G127" s="24" t="inlineStr">
        <is>
          <t>30 ml Clear Diva Bottle</t>
        </is>
      </c>
      <c r="H127" s="24" t="inlineStr">
        <is>
          <t>Glass Bottle</t>
        </is>
      </c>
      <c r="I127" s="24" t="inlineStr">
        <is>
          <t>Diva</t>
        </is>
      </c>
      <c r="J127" s="24" t="inlineStr">
        <is>
          <t>diva-30ml-clear-18-415-perfumespray</t>
        </is>
      </c>
      <c r="K127" s="24" t="inlineStr">
        <is>
          <t>kh7defntbgjfkkjbx2c5b85gwn83kqqg</t>
        </is>
      </c>
      <c r="L127" s="24" t="inlineStr">
        <is>
          <t>GB-DVA-CLR-30ML-SPR-CPR</t>
        </is>
      </c>
      <c r="M127" s="24" t="inlineStr">
        <is>
          <t>GBDiva30SpryCu</t>
        </is>
      </c>
      <c r="N127" s="24" t="inlineStr">
        <is>
          <t>GBDiva30SpryCu</t>
        </is>
      </c>
      <c r="O127" s="25" t="inlineStr">
        <is>
          <t>https://www.bestbottles.com/product/diva-design-30-ml-glass-bottle-matte-copper-spray-and-cap</t>
        </is>
      </c>
      <c r="P127" s="23" t="inlineStr">
        <is>
          <t>No</t>
        </is>
      </c>
      <c r="Q127" s="24" t="n"/>
      <c r="R127" s="24" t="n">
        <v>6</v>
      </c>
      <c r="S127" s="24" t="n">
        <v>3.05</v>
      </c>
      <c r="T127" s="24" t="n">
        <v>3.05</v>
      </c>
      <c r="U127" s="24" t="n"/>
      <c r="V127" s="24" t="n"/>
      <c r="W127" s="24" t="n"/>
      <c r="X127" s="24" t="n"/>
    </row>
    <row r="128" ht="15" customHeight="1" s="19">
      <c r="A128" s="21" t="n">
        <v>127</v>
      </c>
      <c r="B128" s="21" t="inlineStr">
        <is>
          <t>Diva</t>
        </is>
      </c>
      <c r="C128" s="21" t="n">
        <v>30</v>
      </c>
      <c r="D128" s="21" t="inlineStr">
        <is>
          <t>Clear</t>
        </is>
      </c>
      <c r="E128" s="21" t="inlineStr">
        <is>
          <t>Reducer</t>
        </is>
      </c>
      <c r="F128" s="21" t="inlineStr">
        <is>
          <t>18-415</t>
        </is>
      </c>
      <c r="G128" s="21" t="inlineStr">
        <is>
          <t>30 ml Clear Diva Reducer Bottle</t>
        </is>
      </c>
      <c r="H128" s="21" t="inlineStr">
        <is>
          <t>Glass Bottle</t>
        </is>
      </c>
      <c r="I128" s="21" t="inlineStr">
        <is>
          <t>Diva</t>
        </is>
      </c>
      <c r="J128" s="21" t="inlineStr">
        <is>
          <t>diva-30ml-clear-18-415-reducer</t>
        </is>
      </c>
      <c r="K128" s="21" t="inlineStr">
        <is>
          <t>kh759n7fvwx3m8049fs5jnjmes83kdrp</t>
        </is>
      </c>
      <c r="L128" s="21" t="inlineStr">
        <is>
          <t>GB-DVA-CLR-30ML-RDC-BKLT</t>
        </is>
      </c>
      <c r="M128" s="21" t="inlineStr">
        <is>
          <t>GBDiva30RdcrBlkLthr</t>
        </is>
      </c>
      <c r="N128" s="21" t="inlineStr">
        <is>
          <t>GBDiva30RdcrBlkLthr, GBDiva30RdcrShnGl, GBDiva30RdcrShnBlkTall, GBDiva30RdcrShnBlk, GBDiva30RdcrBrwnLthr, GBDiva30RdcrLBrwnLthr, GBDiva30RdcrShnSl, GBDiva30RdcrMtSlTall, GBDiva30RdcrMtSl, GBDiva30RdcrWht, GBDiva30RdcrPnkLthr, GBDiva30RdcrIvyLthr</t>
        </is>
      </c>
      <c r="O128" s="22" t="inlineStr">
        <is>
          <t>https://www.bestbottles.com/product/diva-design-30-ml-glass-bottle-reducer-black-faux-leather-cap</t>
        </is>
      </c>
      <c r="P128" s="23" t="inlineStr">
        <is>
          <t>No</t>
        </is>
      </c>
      <c r="Q128" s="21" t="n"/>
      <c r="R128" s="21" t="n">
        <v>12</v>
      </c>
      <c r="S128" s="21" t="n">
        <v>2.02</v>
      </c>
      <c r="T128" s="21" t="n">
        <v>2.3</v>
      </c>
      <c r="U128" s="21" t="n"/>
      <c r="V128" s="21" t="n"/>
      <c r="W128" s="21" t="n"/>
      <c r="X128" s="21" t="n"/>
    </row>
    <row r="129" ht="15" customHeight="1" s="19">
      <c r="A129" s="24" t="n">
        <v>128</v>
      </c>
      <c r="B129" s="24" t="inlineStr">
        <is>
          <t>Diva</t>
        </is>
      </c>
      <c r="C129" s="24" t="n">
        <v>30</v>
      </c>
      <c r="D129" s="24" t="inlineStr">
        <is>
          <t>Clear</t>
        </is>
      </c>
      <c r="E129" s="24" t="inlineStr">
        <is>
          <t>Vintage Bulb Sprayer</t>
        </is>
      </c>
      <c r="F129" s="24" t="inlineStr">
        <is>
          <t>18-415</t>
        </is>
      </c>
      <c r="G129" s="24" t="inlineStr">
        <is>
          <t>30 ml Clear Diva Vintage Bulb Spray Bottle</t>
        </is>
      </c>
      <c r="H129" s="24" t="inlineStr">
        <is>
          <t>Glass Bottle</t>
        </is>
      </c>
      <c r="I129" s="24" t="inlineStr">
        <is>
          <t>Diva</t>
        </is>
      </c>
      <c r="J129" s="24" t="inlineStr">
        <is>
          <t>diva-30ml-clear-18-415-antiquespray</t>
        </is>
      </c>
      <c r="K129" s="24" t="inlineStr">
        <is>
          <t>kh720h1fc7t4cwd7tqsd9qcrm183jt84</t>
        </is>
      </c>
      <c r="L129" s="24" t="inlineStr">
        <is>
          <t>GB-DVA-CLR-30ML-ASP-BLK</t>
        </is>
      </c>
      <c r="M129" s="24" t="inlineStr">
        <is>
          <t>GBDiva30AnSpBlk</t>
        </is>
      </c>
      <c r="N129" s="24" t="inlineStr">
        <is>
          <t>GBDiva30AnSpBlk, GBDiva30AnSpMtSl, GBDiva30AnSpWht, GBDiva30AnSpRed, GBDiva30AnSpGl, GBDiva30AnSpIvyGl</t>
        </is>
      </c>
      <c r="O129" s="25" t="inlineStr">
        <is>
          <t>https://www.bestbottles.com/product/diva-design-30-ml-glass-bottle-black-vintage-style-bulb-sprayer-shiny-silver-collar-cap</t>
        </is>
      </c>
      <c r="P129" s="23" t="inlineStr">
        <is>
          <t>No</t>
        </is>
      </c>
      <c r="Q129" s="24" t="n"/>
      <c r="R129" s="24" t="n">
        <v>9</v>
      </c>
      <c r="S129" s="24" t="n">
        <v>5.9</v>
      </c>
      <c r="T129" s="24" t="n">
        <v>5.9</v>
      </c>
      <c r="U129" s="24" t="n"/>
      <c r="V129" s="24" t="n"/>
      <c r="W129" s="24" t="n"/>
      <c r="X129" s="24" t="n"/>
    </row>
    <row r="130" ht="15" customHeight="1" s="19">
      <c r="A130" s="21" t="n">
        <v>129</v>
      </c>
      <c r="B130" s="21" t="inlineStr">
        <is>
          <t>Diva</t>
        </is>
      </c>
      <c r="C130" s="21" t="n">
        <v>46</v>
      </c>
      <c r="D130" s="21" t="inlineStr">
        <is>
          <t>Clear</t>
        </is>
      </c>
      <c r="E130" s="21" t="inlineStr">
        <is>
          <t>Dropper</t>
        </is>
      </c>
      <c r="F130" s="21" t="inlineStr">
        <is>
          <t>18-415</t>
        </is>
      </c>
      <c r="G130" s="21" t="inlineStr">
        <is>
          <t>46 ml Clear Diva Dropper Bottle</t>
        </is>
      </c>
      <c r="H130" s="21" t="inlineStr">
        <is>
          <t>Glass Bottle</t>
        </is>
      </c>
      <c r="I130" s="21" t="inlineStr">
        <is>
          <t>Diva</t>
        </is>
      </c>
      <c r="J130" s="21" t="inlineStr">
        <is>
          <t>diva-46ml-clear-18-415-dropper</t>
        </is>
      </c>
      <c r="K130" s="21" t="inlineStr">
        <is>
          <t>kh7c1k92ec1xw7n1r2cgnc321h83kdnz</t>
        </is>
      </c>
      <c r="L130" s="21" t="inlineStr">
        <is>
          <t>GB-DVA-FRS-46ML-DRP-GLD</t>
        </is>
      </c>
      <c r="M130" s="21" t="inlineStr">
        <is>
          <t>GBDiva46DrpGl</t>
        </is>
      </c>
      <c r="N130" s="21" t="inlineStr">
        <is>
          <t>GBDiva46DrpGl</t>
        </is>
      </c>
      <c r="O130" s="22" t="inlineStr">
        <is>
          <t>https://www.bestbottles.com/product/diva-design-46-ml-glass-bottle-white-dropper-shiny-gold-collar-cap</t>
        </is>
      </c>
      <c r="P130" s="23" t="inlineStr">
        <is>
          <t>No</t>
        </is>
      </c>
      <c r="Q130" s="21" t="n"/>
      <c r="R130" s="21" t="n">
        <v>2</v>
      </c>
      <c r="S130" s="21" t="n">
        <v>2.4</v>
      </c>
      <c r="T130" s="21" t="n">
        <v>2.4</v>
      </c>
      <c r="U130" s="21" t="n"/>
      <c r="V130" s="21" t="n"/>
      <c r="W130" s="21" t="n"/>
      <c r="X130" s="21" t="n"/>
    </row>
    <row r="131" ht="15" customHeight="1" s="19">
      <c r="A131" s="24" t="n">
        <v>130</v>
      </c>
      <c r="B131" s="24" t="inlineStr">
        <is>
          <t>Diva</t>
        </is>
      </c>
      <c r="C131" s="24" t="n">
        <v>46</v>
      </c>
      <c r="D131" s="24" t="inlineStr">
        <is>
          <t>Clear</t>
        </is>
      </c>
      <c r="E131" s="24" t="inlineStr">
        <is>
          <t>Lotion Pump</t>
        </is>
      </c>
      <c r="F131" s="24" t="inlineStr">
        <is>
          <t>18-415</t>
        </is>
      </c>
      <c r="G131" s="24" t="inlineStr">
        <is>
          <t>46 ml Clear Diva Lotion Pump Bottle</t>
        </is>
      </c>
      <c r="H131" s="24" t="inlineStr">
        <is>
          <t>Glass Bottle</t>
        </is>
      </c>
      <c r="I131" s="24" t="inlineStr">
        <is>
          <t>Diva</t>
        </is>
      </c>
      <c r="J131" s="24" t="inlineStr">
        <is>
          <t>diva-46ml-clear-18-415-lotionpump</t>
        </is>
      </c>
      <c r="K131" s="24" t="inlineStr">
        <is>
          <t>kh75d77pzecwjhg5xva1gkrkz983jefz</t>
        </is>
      </c>
      <c r="L131" s="24" t="inlineStr">
        <is>
          <t>LB-DVA-CLR-46ML-LPM-MGLD</t>
        </is>
      </c>
      <c r="M131" s="24" t="inlineStr">
        <is>
          <t>LBDiva46LtnMtGl</t>
        </is>
      </c>
      <c r="N131" s="24" t="inlineStr">
        <is>
          <t>LBDiva46LtnMtGl, LBDiva46LtnShnGl, LBDiva46LtnShnBlk, LBDiva46LtnMtSl, LBDiva46LtnShnSl, LBDiva46LtnCu</t>
        </is>
      </c>
      <c r="O131" s="25" t="inlineStr">
        <is>
          <t>https://www.bestbottles.com/product/diva-design-46-ml-glass-bottle-matte-gold-lotion-pump-and-cap</t>
        </is>
      </c>
      <c r="P131" s="23" t="inlineStr">
        <is>
          <t>No</t>
        </is>
      </c>
      <c r="Q131" s="24" t="n"/>
      <c r="R131" s="24" t="n">
        <v>7</v>
      </c>
      <c r="S131" s="24" t="n">
        <v>3.25</v>
      </c>
      <c r="T131" s="24" t="n">
        <v>3.25</v>
      </c>
      <c r="U131" s="24" t="n"/>
      <c r="V131" s="24" t="n"/>
      <c r="W131" s="24" t="n"/>
      <c r="X131" s="24" t="n"/>
    </row>
    <row r="132" ht="15" customHeight="1" s="19">
      <c r="A132" s="21" t="n">
        <v>131</v>
      </c>
      <c r="B132" s="21" t="inlineStr">
        <is>
          <t>Diva</t>
        </is>
      </c>
      <c r="C132" s="21" t="n">
        <v>46</v>
      </c>
      <c r="D132" s="21" t="inlineStr">
        <is>
          <t>Clear</t>
        </is>
      </c>
      <c r="E132" s="21" t="inlineStr">
        <is>
          <t>Perfume Spray Pump</t>
        </is>
      </c>
      <c r="F132" s="21" t="inlineStr">
        <is>
          <t>18-415</t>
        </is>
      </c>
      <c r="G132" s="21" t="inlineStr">
        <is>
          <t>46 ml Clear Diva Bottle</t>
        </is>
      </c>
      <c r="H132" s="21" t="inlineStr">
        <is>
          <t>Glass Bottle</t>
        </is>
      </c>
      <c r="I132" s="21" t="inlineStr">
        <is>
          <t>Diva</t>
        </is>
      </c>
      <c r="J132" s="21" t="inlineStr">
        <is>
          <t>diva-46ml-clear-18-415-perfumespray</t>
        </is>
      </c>
      <c r="K132" s="21" t="inlineStr">
        <is>
          <t>kh79gafe25sr8tpnbdse5ctpgh83k98x</t>
        </is>
      </c>
      <c r="L132" s="21" t="inlineStr">
        <is>
          <t>GB-DVA-CLR-46ML-SPR-MGLD</t>
        </is>
      </c>
      <c r="M132" s="21" t="inlineStr">
        <is>
          <t>GBDiva46SpryMtGl</t>
        </is>
      </c>
      <c r="N132" s="21" t="inlineStr">
        <is>
          <t>GBDiva46SpryMtGl, GBDiva46SpryShnGl, GBDiva46SpryShnBlk, GBDiva46SpryMtSl, GBDiva46SpryShnSl, GBDiva46SpryCu</t>
        </is>
      </c>
      <c r="O132" s="22" t="inlineStr">
        <is>
          <t>https://www.bestbottles.com/product/diva-design-46-ml-glass-bottle-matte-gold-spray-pump-and-cap</t>
        </is>
      </c>
      <c r="P132" s="23" t="inlineStr">
        <is>
          <t>No</t>
        </is>
      </c>
      <c r="Q132" s="21" t="n"/>
      <c r="R132" s="21" t="n">
        <v>6</v>
      </c>
      <c r="S132" s="21" t="n">
        <v>3.25</v>
      </c>
      <c r="T132" s="21" t="n">
        <v>3.25</v>
      </c>
      <c r="U132" s="21" t="n"/>
      <c r="V132" s="21" t="n"/>
      <c r="W132" s="21" t="n"/>
      <c r="X132" s="21" t="n"/>
    </row>
    <row r="133" ht="15" customHeight="1" s="19">
      <c r="A133" s="24" t="n">
        <v>132</v>
      </c>
      <c r="B133" s="24" t="inlineStr">
        <is>
          <t>Diva</t>
        </is>
      </c>
      <c r="C133" s="24" t="n">
        <v>46</v>
      </c>
      <c r="D133" s="24" t="inlineStr">
        <is>
          <t>Clear</t>
        </is>
      </c>
      <c r="E133" s="24" t="inlineStr">
        <is>
          <t>Reducer</t>
        </is>
      </c>
      <c r="F133" s="24" t="inlineStr">
        <is>
          <t>18-415</t>
        </is>
      </c>
      <c r="G133" s="24" t="inlineStr">
        <is>
          <t>46 ml Clear Diva Reducer Bottle</t>
        </is>
      </c>
      <c r="H133" s="24" t="inlineStr">
        <is>
          <t>Glass Bottle</t>
        </is>
      </c>
      <c r="I133" s="24" t="inlineStr">
        <is>
          <t>Diva</t>
        </is>
      </c>
      <c r="J133" s="24" t="inlineStr">
        <is>
          <t>diva-46ml-clear-18-415-reducer</t>
        </is>
      </c>
      <c r="K133" s="24" t="inlineStr">
        <is>
          <t>kh7fvrjm44zwzy1x7dqs2z4tvs83jedn</t>
        </is>
      </c>
      <c r="L133" s="24" t="inlineStr">
        <is>
          <t>GB-DVA-CLR-46ML-RDC-BKLT</t>
        </is>
      </c>
      <c r="M133" s="24" t="inlineStr">
        <is>
          <t>GBDiva46RdcrBlkLthr</t>
        </is>
      </c>
      <c r="N133" s="24" t="inlineStr">
        <is>
          <t>GBDiva46RdcrBlkLthr, GBDiva46RdcrShnGl, GBDiva46RdcrShnBlkTall, GBDiva46RdcrShnBlk, GBDiva46RdcrBrwnLthr, GBDiva46RdcrLBrwnLthr, GBDiva46RdcrShnSl, GBDiva46RdcrMtSlTall, GBDiva46RdcrMtSl, GBDiva46RdcrWht, GBDiva46RdcrPnkLthr, GBDiva46RdcrIvyLthr</t>
        </is>
      </c>
      <c r="O133" s="25" t="inlineStr">
        <is>
          <t>https://www.bestbottles.com/product/diva-design-46-ml-glass-bottle-reducer-black-faux-leather-cap</t>
        </is>
      </c>
      <c r="P133" s="23" t="inlineStr">
        <is>
          <t>No</t>
        </is>
      </c>
      <c r="Q133" s="24" t="n"/>
      <c r="R133" s="24" t="n">
        <v>12</v>
      </c>
      <c r="S133" s="24" t="n">
        <v>2.22</v>
      </c>
      <c r="T133" s="24" t="n">
        <v>2.5</v>
      </c>
      <c r="U133" s="24" t="n"/>
      <c r="V133" s="24" t="n"/>
      <c r="W133" s="24" t="n"/>
      <c r="X133" s="24" t="n"/>
    </row>
    <row r="134" ht="15" customHeight="1" s="19">
      <c r="A134" s="21" t="n">
        <v>133</v>
      </c>
      <c r="B134" s="21" t="inlineStr">
        <is>
          <t>Diva</t>
        </is>
      </c>
      <c r="C134" s="21" t="n">
        <v>46</v>
      </c>
      <c r="D134" s="21" t="inlineStr">
        <is>
          <t>Clear</t>
        </is>
      </c>
      <c r="E134" s="21" t="inlineStr">
        <is>
          <t>Vintage Bulb Sprayer</t>
        </is>
      </c>
      <c r="F134" s="21" t="inlineStr">
        <is>
          <t>18-415</t>
        </is>
      </c>
      <c r="G134" s="21" t="inlineStr">
        <is>
          <t>46 ml Clear Diva Vintage Bulb Spray Bottle</t>
        </is>
      </c>
      <c r="H134" s="21" t="inlineStr">
        <is>
          <t>Glass Bottle</t>
        </is>
      </c>
      <c r="I134" s="21" t="inlineStr">
        <is>
          <t>Diva</t>
        </is>
      </c>
      <c r="J134" s="21" t="inlineStr">
        <is>
          <t>diva-46ml-clear-18-415-antiquespray</t>
        </is>
      </c>
      <c r="K134" s="21" t="inlineStr">
        <is>
          <t>kh766g89jdmkw9tmav32mmc3hs83jzb4</t>
        </is>
      </c>
      <c r="L134" s="21" t="inlineStr">
        <is>
          <t>GB-DVA-CLR-46ML-T-01</t>
        </is>
      </c>
      <c r="M134" s="21" t="inlineStr">
        <is>
          <t>GBDiva46AnSpBlkRng</t>
        </is>
      </c>
      <c r="N134" s="21" t="inlineStr">
        <is>
          <t>GBDiva46AnSpBlkRng, GBDiva46AnSpBlk</t>
        </is>
      </c>
      <c r="O134" s="22" t="inlineStr">
        <is>
          <t>https://www.bestbottles.com/product/diva-design-46-ml-glass-bottle-black-vintage-style-sprayer-with-shiny-silver-collar-ring</t>
        </is>
      </c>
      <c r="P134" s="23" t="inlineStr">
        <is>
          <t>No</t>
        </is>
      </c>
      <c r="Q134" s="21" t="n"/>
      <c r="R134" s="21" t="n">
        <v>14</v>
      </c>
      <c r="S134" s="21" t="n">
        <v>6.1</v>
      </c>
      <c r="T134" s="21" t="n">
        <v>7.1</v>
      </c>
      <c r="U134" s="21" t="n"/>
      <c r="V134" s="21" t="n"/>
      <c r="W134" s="21" t="n"/>
      <c r="X134" s="21" t="n"/>
    </row>
    <row r="135" ht="15" customHeight="1" s="19">
      <c r="A135" s="24" t="n">
        <v>134</v>
      </c>
      <c r="B135" s="24" t="inlineStr">
        <is>
          <t>Diva</t>
        </is>
      </c>
      <c r="C135" s="24" t="n">
        <v>46</v>
      </c>
      <c r="D135" s="24" t="inlineStr">
        <is>
          <t>Clear</t>
        </is>
      </c>
      <c r="E135" s="24" t="inlineStr">
        <is>
          <t>Vintage Bulb Sprayer with Tassel</t>
        </is>
      </c>
      <c r="F135" s="24" t="inlineStr">
        <is>
          <t>18-415</t>
        </is>
      </c>
      <c r="G135" s="24" t="inlineStr">
        <is>
          <t>46 ml Clear Diva Vintage Bulb Spray Bottle with Tassel</t>
        </is>
      </c>
      <c r="H135" s="24" t="inlineStr">
        <is>
          <t>Glass Bottle</t>
        </is>
      </c>
      <c r="I135" s="24" t="inlineStr">
        <is>
          <t>Diva</t>
        </is>
      </c>
      <c r="J135" s="24" t="inlineStr">
        <is>
          <t>diva-46ml-clear-18-415-antiquespray-tassel</t>
        </is>
      </c>
      <c r="K135" s="24" t="inlineStr">
        <is>
          <t>kh7b8g6xwas3n35eq0hk3bg39x83jp1n</t>
        </is>
      </c>
      <c r="L135" s="24" t="inlineStr">
        <is>
          <t>GB-DVA-CLR-46ML-T-06</t>
        </is>
      </c>
      <c r="M135" s="24" t="inlineStr">
        <is>
          <t>GBDiva46AnSpTslBlkRng</t>
        </is>
      </c>
      <c r="N135" s="24" t="inlineStr">
        <is>
          <t>GBDiva46AnSpTslBlkRng, GBDiva46AnSpTslBlk</t>
        </is>
      </c>
      <c r="O135" s="25" t="inlineStr">
        <is>
          <t>https://www.bestbottles.com/product/diva-design-46-ml-glass-bottle-black-vintage-style-sprayer-with-tassel-shiny-silver-collar-ring</t>
        </is>
      </c>
      <c r="P135" s="23" t="inlineStr">
        <is>
          <t>No</t>
        </is>
      </c>
      <c r="Q135" s="24" t="n"/>
      <c r="R135" s="24" t="n">
        <v>14</v>
      </c>
      <c r="S135" s="24" t="n">
        <v>6.85</v>
      </c>
      <c r="T135" s="24" t="n">
        <v>7.85</v>
      </c>
      <c r="U135" s="24" t="n"/>
      <c r="V135" s="24" t="n"/>
      <c r="W135" s="24" t="n"/>
      <c r="X135" s="24" t="n"/>
    </row>
    <row r="136" ht="15" customHeight="1" s="19">
      <c r="A136" s="21" t="n">
        <v>135</v>
      </c>
      <c r="B136" s="21" t="inlineStr">
        <is>
          <t>Diva</t>
        </is>
      </c>
      <c r="C136" s="21" t="n">
        <v>46</v>
      </c>
      <c r="D136" s="21" t="inlineStr">
        <is>
          <t>Frosted</t>
        </is>
      </c>
      <c r="E136" s="21" t="inlineStr">
        <is>
          <t>Dropper</t>
        </is>
      </c>
      <c r="F136" s="21" t="inlineStr">
        <is>
          <t>18-415</t>
        </is>
      </c>
      <c r="G136" s="21" t="inlineStr">
        <is>
          <t>46 ml Frosted Diva Dropper Bottle</t>
        </is>
      </c>
      <c r="H136" s="21" t="inlineStr">
        <is>
          <t>Glass Bottle</t>
        </is>
      </c>
      <c r="I136" s="21" t="inlineStr">
        <is>
          <t>Diva</t>
        </is>
      </c>
      <c r="J136" s="21" t="inlineStr">
        <is>
          <t>diva-46ml-frosted-18-415-dropper</t>
        </is>
      </c>
      <c r="K136" s="21" t="inlineStr">
        <is>
          <t>kh78kaajkjspw73qf6r52byv3983ksb6</t>
        </is>
      </c>
      <c r="L136" s="21" t="inlineStr">
        <is>
          <t>GB-DVA-FRS-46ML-DRP-SLV</t>
        </is>
      </c>
      <c r="M136" s="21" t="inlineStr">
        <is>
          <t>GBDiva46DrpSl</t>
        </is>
      </c>
      <c r="N136" s="21" t="inlineStr">
        <is>
          <t>GBDiva46DrpSl</t>
        </is>
      </c>
      <c r="O136" s="22" t="inlineStr">
        <is>
          <t>https://www.bestbottles.com/product/diva-design-46-ml-glass-bottle-white-dropper-shiny-silver-collar-cap</t>
        </is>
      </c>
      <c r="P136" s="23" t="inlineStr">
        <is>
          <t>No</t>
        </is>
      </c>
      <c r="Q136" s="21" t="n"/>
      <c r="R136" s="21" t="n">
        <v>1</v>
      </c>
      <c r="S136" s="21" t="n">
        <v>2.4</v>
      </c>
      <c r="T136" s="21" t="n">
        <v>2.4</v>
      </c>
      <c r="U136" s="21" t="n"/>
      <c r="V136" s="21" t="n"/>
      <c r="W136" s="21" t="n"/>
      <c r="X136" s="21" t="n"/>
    </row>
    <row r="137" ht="15" customHeight="1" s="19">
      <c r="A137" s="24" t="n">
        <v>136</v>
      </c>
      <c r="B137" s="24" t="inlineStr">
        <is>
          <t>Diva</t>
        </is>
      </c>
      <c r="C137" s="24" t="n">
        <v>46</v>
      </c>
      <c r="D137" s="24" t="inlineStr">
        <is>
          <t>Frosted</t>
        </is>
      </c>
      <c r="E137" s="24" t="inlineStr">
        <is>
          <t>Lotion Pump</t>
        </is>
      </c>
      <c r="F137" s="24" t="inlineStr">
        <is>
          <t>18-415</t>
        </is>
      </c>
      <c r="G137" s="24" t="inlineStr">
        <is>
          <t>46 ml Frosted Diva Lotion Pump Bottle</t>
        </is>
      </c>
      <c r="H137" s="24" t="inlineStr">
        <is>
          <t>Glass Bottle</t>
        </is>
      </c>
      <c r="I137" s="24" t="inlineStr">
        <is>
          <t>Diva</t>
        </is>
      </c>
      <c r="J137" s="24" t="inlineStr">
        <is>
          <t>diva-46ml-frosted-18-415-lotionpump</t>
        </is>
      </c>
      <c r="K137" s="24" t="inlineStr">
        <is>
          <t>kh729k19gqzp7mz2wa85r3816s83jen6</t>
        </is>
      </c>
      <c r="L137" s="24" t="inlineStr">
        <is>
          <t>LB-DVA-FRS-46ML-02</t>
        </is>
      </c>
      <c r="M137" s="24" t="inlineStr">
        <is>
          <t>LBDivaFrst46LtnMtGl</t>
        </is>
      </c>
      <c r="N137" s="24" t="inlineStr">
        <is>
          <t>LBDivaFrst46LtnMtGl, LBDivaFrst46LtnMtSl, LBDivaFrst46LtnCu, LBDivaFrst46LtnShnGl, LBDivaFrst46LtnShnBlk, LBDivaFrst46LtnShnSl</t>
        </is>
      </c>
      <c r="O137" s="25" t="inlineStr">
        <is>
          <t>https://www.bestbottles.com/product/diva-design-46-ml-frosted-glass-bottle-matte-gold-lotion-pump-and-cap</t>
        </is>
      </c>
      <c r="P137" s="23" t="inlineStr">
        <is>
          <t>No</t>
        </is>
      </c>
      <c r="Q137" s="24" t="n"/>
      <c r="R137" s="24" t="n">
        <v>7</v>
      </c>
      <c r="S137" s="24" t="n">
        <v>3.75</v>
      </c>
      <c r="T137" s="24" t="n">
        <v>3.75</v>
      </c>
      <c r="U137" s="24" t="n"/>
      <c r="V137" s="24" t="n"/>
      <c r="W137" s="24" t="n"/>
      <c r="X137" s="24" t="n"/>
    </row>
    <row r="138" ht="15" customHeight="1" s="19">
      <c r="A138" s="21" t="n">
        <v>137</v>
      </c>
      <c r="B138" s="21" t="inlineStr">
        <is>
          <t>Diva</t>
        </is>
      </c>
      <c r="C138" s="21" t="n">
        <v>46</v>
      </c>
      <c r="D138" s="21" t="inlineStr">
        <is>
          <t>Frosted</t>
        </is>
      </c>
      <c r="E138" s="21" t="inlineStr">
        <is>
          <t>Perfume Spray Pump</t>
        </is>
      </c>
      <c r="F138" s="21" t="inlineStr">
        <is>
          <t>18-415</t>
        </is>
      </c>
      <c r="G138" s="21" t="inlineStr">
        <is>
          <t>46 ml Frosted Diva Bottle</t>
        </is>
      </c>
      <c r="H138" s="21" t="inlineStr">
        <is>
          <t>Glass Bottle</t>
        </is>
      </c>
      <c r="I138" s="21" t="inlineStr">
        <is>
          <t>Diva</t>
        </is>
      </c>
      <c r="J138" s="21" t="inlineStr">
        <is>
          <t>diva-46ml-frosted-18-415-perfumespray</t>
        </is>
      </c>
      <c r="K138" s="21" t="inlineStr">
        <is>
          <t>kh77thc152ftt83w77w4g4q3e183k975</t>
        </is>
      </c>
      <c r="L138" s="21" t="inlineStr">
        <is>
          <t>GB-DVA-FRS-46ML-02</t>
        </is>
      </c>
      <c r="M138" s="21" t="inlineStr">
        <is>
          <t>GBDivaFrst46SpryMtGl</t>
        </is>
      </c>
      <c r="N138" s="21" t="inlineStr">
        <is>
          <t>GBDivaFrst46SpryMtGl, GBDivaFrst46SpryShnGl, GBDivaFrst46SpryShnBlk, GBDivaFrst46SpryMtSl, GBDivaFrst46SpryShnSl, GBDivaFrst46SpryCu</t>
        </is>
      </c>
      <c r="O138" s="22" t="inlineStr">
        <is>
          <t>https://www.bestbottles.com/product/diva-design-46-ml-frosted-glass-bottle-matte-gold-spray-pump-and-cap</t>
        </is>
      </c>
      <c r="P138" s="23" t="inlineStr">
        <is>
          <t>No</t>
        </is>
      </c>
      <c r="Q138" s="21" t="n"/>
      <c r="R138" s="21" t="n">
        <v>6</v>
      </c>
      <c r="S138" s="21" t="n">
        <v>3.75</v>
      </c>
      <c r="T138" s="21" t="n">
        <v>3.75</v>
      </c>
      <c r="U138" s="21" t="n"/>
      <c r="V138" s="21" t="n"/>
      <c r="W138" s="21" t="n"/>
      <c r="X138" s="21" t="n"/>
    </row>
    <row r="139" ht="15" customHeight="1" s="19">
      <c r="A139" s="24" t="n">
        <v>138</v>
      </c>
      <c r="B139" s="24" t="inlineStr">
        <is>
          <t>Diva</t>
        </is>
      </c>
      <c r="C139" s="24" t="n">
        <v>46</v>
      </c>
      <c r="D139" s="24" t="inlineStr">
        <is>
          <t>Frosted</t>
        </is>
      </c>
      <c r="E139" s="24" t="inlineStr">
        <is>
          <t>Reducer</t>
        </is>
      </c>
      <c r="F139" s="24" t="inlineStr">
        <is>
          <t>18-415</t>
        </is>
      </c>
      <c r="G139" s="24" t="inlineStr">
        <is>
          <t>46 ml Frosted Diva Reducer Bottle</t>
        </is>
      </c>
      <c r="H139" s="24" t="inlineStr">
        <is>
          <t>Glass Bottle</t>
        </is>
      </c>
      <c r="I139" s="24" t="inlineStr">
        <is>
          <t>Diva</t>
        </is>
      </c>
      <c r="J139" s="24" t="inlineStr">
        <is>
          <t>diva-46ml-frosted-18-415-reducer</t>
        </is>
      </c>
      <c r="K139" s="24" t="inlineStr">
        <is>
          <t>kh7adsm04czhhbdrwpjxnsaecd83jp3q</t>
        </is>
      </c>
      <c r="L139" s="24" t="inlineStr">
        <is>
          <t>GB-DVA-FRS-46ML-T-30</t>
        </is>
      </c>
      <c r="M139" s="24" t="inlineStr">
        <is>
          <t>GBDivaFrst46RdcrBlkLthr</t>
        </is>
      </c>
      <c r="N139" s="24" t="inlineStr">
        <is>
          <t>GBDivaFrst46RdcrBlkLthr, GBDivaFrst46RdcrShnGl, GBDivaFrst46RdcrShnBlkTall, GBDivaFrst46RdcrShnBlk, GBDivaFrst46RdcrBrwnLthr, GBDivaFrst46RdcrLBrwnLthr, GBDivaFrst46RdcrShnSl, GBDivaFrst46RdcrMtSlTall, GBDivaFrst46RdcrMtSl, GBDivaFrst46RdcrWht</t>
        </is>
      </c>
      <c r="O139" s="25" t="inlineStr">
        <is>
          <t>https://www.bestbottles.com/product/diva-design-46-ml-frosted-glass-bottle-reducer-black-faux-leather-cap</t>
        </is>
      </c>
      <c r="P139" s="23" t="inlineStr">
        <is>
          <t>No</t>
        </is>
      </c>
      <c r="Q139" s="24" t="n"/>
      <c r="R139" s="24" t="n">
        <v>12</v>
      </c>
      <c r="S139" s="24" t="n">
        <v>2.72</v>
      </c>
      <c r="T139" s="24" t="n">
        <v>3</v>
      </c>
      <c r="U139" s="24" t="n"/>
      <c r="V139" s="24" t="n"/>
      <c r="W139" s="24" t="n"/>
      <c r="X139" s="24" t="n"/>
    </row>
    <row r="140" ht="15" customHeight="1" s="19">
      <c r="A140" s="21" t="n">
        <v>139</v>
      </c>
      <c r="B140" s="21" t="inlineStr">
        <is>
          <t>Diva</t>
        </is>
      </c>
      <c r="C140" s="21" t="n">
        <v>46</v>
      </c>
      <c r="D140" s="21" t="inlineStr">
        <is>
          <t>Frosted</t>
        </is>
      </c>
      <c r="E140" s="21" t="inlineStr">
        <is>
          <t>Vintage Bulb Sprayer</t>
        </is>
      </c>
      <c r="F140" s="21" t="inlineStr">
        <is>
          <t>18-415</t>
        </is>
      </c>
      <c r="G140" s="21" t="inlineStr">
        <is>
          <t>46 ml Frosted Diva Vintage Bulb Spray Bottle</t>
        </is>
      </c>
      <c r="H140" s="21" t="inlineStr">
        <is>
          <t>Glass Bottle</t>
        </is>
      </c>
      <c r="I140" s="21" t="inlineStr">
        <is>
          <t>Diva</t>
        </is>
      </c>
      <c r="J140" s="21" t="inlineStr">
        <is>
          <t>diva-46ml-frosted-18-415-antiquespray</t>
        </is>
      </c>
      <c r="K140" s="21" t="inlineStr">
        <is>
          <t>kh70tpagdt44gfd05fc607dcrs83jdm9</t>
        </is>
      </c>
      <c r="L140" s="21" t="inlineStr">
        <is>
          <t>GB-DVA-FRS-46ML-T-12</t>
        </is>
      </c>
      <c r="M140" s="21" t="inlineStr">
        <is>
          <t>GBDivaFrst46AnSpBlk</t>
        </is>
      </c>
      <c r="N140" s="21" t="inlineStr">
        <is>
          <t>GBDivaFrst46AnSpBlk</t>
        </is>
      </c>
      <c r="O140" s="22" t="inlineStr">
        <is>
          <t>https://www.bestbottles.com/product/diva-design-46-ml-frosted-glass-bottle-black-vintage-style-bulb-sprayer-shiny-silver-collar-cap</t>
        </is>
      </c>
      <c r="P140" s="23" t="inlineStr">
        <is>
          <t>No</t>
        </is>
      </c>
      <c r="Q140" s="21" t="n"/>
      <c r="R140" s="21" t="n">
        <v>9</v>
      </c>
      <c r="S140" s="21" t="n">
        <v>6.6</v>
      </c>
      <c r="T140" s="21" t="n">
        <v>6.6</v>
      </c>
      <c r="U140" s="21" t="n"/>
      <c r="V140" s="21" t="n"/>
      <c r="W140" s="21" t="n"/>
      <c r="X140" s="21" t="n"/>
    </row>
    <row r="141" ht="15" customHeight="1" s="19">
      <c r="A141" s="24" t="n">
        <v>140</v>
      </c>
      <c r="B141" s="24" t="inlineStr">
        <is>
          <t>Diva</t>
        </is>
      </c>
      <c r="C141" s="24" t="n">
        <v>46</v>
      </c>
      <c r="D141" s="24" t="inlineStr">
        <is>
          <t>Frosted</t>
        </is>
      </c>
      <c r="E141" s="24" t="inlineStr">
        <is>
          <t>Vintage Bulb Sprayer with Tassel</t>
        </is>
      </c>
      <c r="F141" s="24" t="inlineStr">
        <is>
          <t>18-415</t>
        </is>
      </c>
      <c r="G141" s="24" t="inlineStr">
        <is>
          <t>46 ml Frosted Diva Vintage Bulb Spray Bottle with Tassel</t>
        </is>
      </c>
      <c r="H141" s="24" t="inlineStr">
        <is>
          <t>Glass Bottle</t>
        </is>
      </c>
      <c r="I141" s="24" t="inlineStr">
        <is>
          <t>Diva</t>
        </is>
      </c>
      <c r="J141" s="24" t="inlineStr">
        <is>
          <t>diva-46ml-frosted-18-415-antiquespray-tassel</t>
        </is>
      </c>
      <c r="K141" s="24" t="inlineStr">
        <is>
          <t>kh78fz3scb0fqdx04q38rhncb983k9jg</t>
        </is>
      </c>
      <c r="L141" s="24" t="inlineStr">
        <is>
          <t>GB-DVA-FRS-46ML-T-20</t>
        </is>
      </c>
      <c r="M141" s="24" t="inlineStr">
        <is>
          <t>GBDivaFrst46AnSpTslBlk</t>
        </is>
      </c>
      <c r="N141" s="24" t="inlineStr">
        <is>
          <t>GBDivaFrst46AnSpTslBlk</t>
        </is>
      </c>
      <c r="O141" s="25" t="inlineStr">
        <is>
          <t>https://www.bestbottles.com/product/diva-design-46-ml-frosted-glass-bottle-black-vintage-style-sprayer-with-tassel-shiny-silver-collar-ring</t>
        </is>
      </c>
      <c r="P141" s="23" t="inlineStr">
        <is>
          <t>No</t>
        </is>
      </c>
      <c r="Q141" s="24" t="n"/>
      <c r="R141" s="24" t="n">
        <v>9</v>
      </c>
      <c r="S141" s="24" t="n">
        <v>7.35</v>
      </c>
      <c r="T141" s="24" t="n">
        <v>7.35</v>
      </c>
      <c r="U141" s="24" t="n"/>
      <c r="V141" s="24" t="n"/>
      <c r="W141" s="24" t="n"/>
      <c r="X141" s="24" t="n"/>
    </row>
    <row r="142" ht="15" customHeight="1" s="19">
      <c r="A142" s="21" t="n">
        <v>141</v>
      </c>
      <c r="B142" s="21" t="inlineStr">
        <is>
          <t>Diva</t>
        </is>
      </c>
      <c r="C142" s="21" t="n">
        <v>100</v>
      </c>
      <c r="D142" s="21" t="inlineStr">
        <is>
          <t>Clear</t>
        </is>
      </c>
      <c r="E142" s="21" t="inlineStr">
        <is>
          <t>Lotion Pump</t>
        </is>
      </c>
      <c r="F142" s="21" t="inlineStr">
        <is>
          <t>18-415</t>
        </is>
      </c>
      <c r="G142" s="21" t="inlineStr">
        <is>
          <t>100 ml Clear Diva Lotion Pump Bottle</t>
        </is>
      </c>
      <c r="H142" s="21" t="inlineStr">
        <is>
          <t>Glass Bottle</t>
        </is>
      </c>
      <c r="I142" s="21" t="inlineStr">
        <is>
          <t>Diva</t>
        </is>
      </c>
      <c r="J142" s="21" t="inlineStr">
        <is>
          <t>diva-100ml-clear-18-415-lotionpump</t>
        </is>
      </c>
      <c r="K142" s="21" t="inlineStr">
        <is>
          <t>kh72xz1v349f9qc2emvq2nr8ah83j9j8</t>
        </is>
      </c>
      <c r="L142" s="21" t="inlineStr">
        <is>
          <t>LB-DVA-CLR-100ML-LPM-COCP</t>
        </is>
      </c>
      <c r="M142" s="21" t="inlineStr">
        <is>
          <t>LBDiva100LtnClOvrCap</t>
        </is>
      </c>
      <c r="N142" s="21" t="inlineStr">
        <is>
          <t>LBDiva100LtnClOvrCap</t>
        </is>
      </c>
      <c r="O142" s="22" t="inlineStr">
        <is>
          <t>https://www.bestbottles.com/product/diva-design-100-ml-glass-bottle-clear-over-the-cap-lotion-pump-matte-silver-collar-cap</t>
        </is>
      </c>
      <c r="P142" s="23" t="inlineStr">
        <is>
          <t>No</t>
        </is>
      </c>
      <c r="Q142" s="21" t="n"/>
      <c r="R142" s="21" t="n">
        <v>7</v>
      </c>
      <c r="S142" s="21" t="n">
        <v>3.45</v>
      </c>
      <c r="T142" s="21" t="n">
        <v>3.45</v>
      </c>
      <c r="U142" s="21" t="n"/>
      <c r="V142" s="21" t="n"/>
      <c r="W142" s="21" t="n"/>
      <c r="X142" s="21" t="n"/>
    </row>
    <row r="143" ht="15" customHeight="1" s="19">
      <c r="A143" s="24" t="n">
        <v>142</v>
      </c>
      <c r="B143" s="24" t="inlineStr">
        <is>
          <t>Diva</t>
        </is>
      </c>
      <c r="C143" s="24" t="n">
        <v>100</v>
      </c>
      <c r="D143" s="24" t="inlineStr">
        <is>
          <t>Clear</t>
        </is>
      </c>
      <c r="E143" s="24" t="inlineStr">
        <is>
          <t>Perfume Spray Pump</t>
        </is>
      </c>
      <c r="F143" s="24" t="inlineStr">
        <is>
          <t>18-415</t>
        </is>
      </c>
      <c r="G143" s="24" t="inlineStr">
        <is>
          <t>100 ml Clear Diva Bottle</t>
        </is>
      </c>
      <c r="H143" s="24" t="inlineStr">
        <is>
          <t>Glass Bottle</t>
        </is>
      </c>
      <c r="I143" s="24" t="inlineStr">
        <is>
          <t>Diva</t>
        </is>
      </c>
      <c r="J143" s="24" t="inlineStr">
        <is>
          <t>diva-100ml-clear-18-415-perfumespray</t>
        </is>
      </c>
      <c r="K143" s="24" t="inlineStr">
        <is>
          <t>kh76savm0qkv9dx7t87zzkhngh83jrtb</t>
        </is>
      </c>
      <c r="L143" s="24" t="inlineStr">
        <is>
          <t>GB-DVA-CLR-100ML-SPR-CPR</t>
        </is>
      </c>
      <c r="M143" s="24" t="inlineStr">
        <is>
          <t>GBDiva100SpryCu</t>
        </is>
      </c>
      <c r="N143" s="24" t="inlineStr">
        <is>
          <t>GBDiva100SpryCu, GBDiva100SpryMtGl, GBDiva100SpryShnGl, GBDiva100SpryShnBlk, GBDiva100SpryMtSl, GBDiva100SpryShnSl</t>
        </is>
      </c>
      <c r="O143" s="25" t="inlineStr">
        <is>
          <t>https://www.bestbottles.com/product/diva-design-100-ml-glass-bottle-matte-copper-spray-and-cap</t>
        </is>
      </c>
      <c r="P143" s="23" t="inlineStr">
        <is>
          <t>No</t>
        </is>
      </c>
      <c r="Q143" s="24" t="n"/>
      <c r="R143" s="24" t="n">
        <v>6</v>
      </c>
      <c r="S143" s="24" t="n">
        <v>3.45</v>
      </c>
      <c r="T143" s="24" t="n">
        <v>3.45</v>
      </c>
      <c r="U143" s="24" t="n"/>
      <c r="V143" s="24" t="n"/>
      <c r="W143" s="24" t="n"/>
      <c r="X143" s="24" t="n"/>
    </row>
    <row r="144" ht="15" customHeight="1" s="19">
      <c r="A144" s="21" t="n">
        <v>143</v>
      </c>
      <c r="B144" s="21" t="inlineStr">
        <is>
          <t>Diva</t>
        </is>
      </c>
      <c r="C144" s="21" t="n">
        <v>100</v>
      </c>
      <c r="D144" s="21" t="inlineStr">
        <is>
          <t>Clear</t>
        </is>
      </c>
      <c r="E144" s="21" t="inlineStr">
        <is>
          <t>Reducer</t>
        </is>
      </c>
      <c r="F144" s="21" t="inlineStr">
        <is>
          <t>18-415</t>
        </is>
      </c>
      <c r="G144" s="21" t="inlineStr">
        <is>
          <t>100 ml Clear Diva Reducer Bottle</t>
        </is>
      </c>
      <c r="H144" s="21" t="inlineStr">
        <is>
          <t>Glass Bottle</t>
        </is>
      </c>
      <c r="I144" s="21" t="inlineStr">
        <is>
          <t>Diva</t>
        </is>
      </c>
      <c r="J144" s="21" t="inlineStr">
        <is>
          <t>diva-100ml-clear-18-415-reducer</t>
        </is>
      </c>
      <c r="K144" s="21" t="inlineStr">
        <is>
          <t>kh7a8qm29b8ex6mj8pwaysvhc183j3zg</t>
        </is>
      </c>
      <c r="L144" s="21" t="inlineStr">
        <is>
          <t>GB-DVA-CLR-100ML-RDC-SGLD</t>
        </is>
      </c>
      <c r="M144" s="21" t="inlineStr">
        <is>
          <t>GBDiva100RdcrShnGl</t>
        </is>
      </c>
      <c r="N144" s="21" t="inlineStr">
        <is>
          <t>GBDiva100RdcrShnGl, GBDiva100RdcrShnBlkTall, GBDiva100RdcrShnBlk, GBDiva100RdcrBrwnLthr, GBDiva100RdcrLBrwnLthr, GBDiva100RdcrShnSl, GBDiva100RdcrMtSlTall, GBDiva100RdcrMtSl, GBDiva100RdcrWht, GBDiva100RdcrPnkLthr, GBDiva100RdcrIvyLthr, GBDiva100RdcrBlkLthr</t>
        </is>
      </c>
      <c r="O144" s="22" t="inlineStr">
        <is>
          <t>https://www.bestbottles.com/product/diva-design-100-ml-glass-bottle-reducer-shiny-gold-cap</t>
        </is>
      </c>
      <c r="P144" s="23" t="inlineStr">
        <is>
          <t>No</t>
        </is>
      </c>
      <c r="Q144" s="21" t="n"/>
      <c r="R144" s="21" t="n">
        <v>12</v>
      </c>
      <c r="S144" s="21" t="n">
        <v>2.42</v>
      </c>
      <c r="T144" s="21" t="n">
        <v>2.7</v>
      </c>
      <c r="U144" s="21" t="n"/>
      <c r="V144" s="21" t="n"/>
      <c r="W144" s="21" t="n"/>
      <c r="X144" s="21" t="n"/>
    </row>
    <row r="145" ht="15" customHeight="1" s="19">
      <c r="A145" s="24" t="n">
        <v>144</v>
      </c>
      <c r="B145" s="24" t="inlineStr">
        <is>
          <t>Diva</t>
        </is>
      </c>
      <c r="C145" s="24" t="n">
        <v>100</v>
      </c>
      <c r="D145" s="24" t="inlineStr">
        <is>
          <t>Clear</t>
        </is>
      </c>
      <c r="E145" s="24" t="inlineStr">
        <is>
          <t>Vintage Bulb Sprayer</t>
        </is>
      </c>
      <c r="F145" s="24" t="inlineStr">
        <is>
          <t>18-415</t>
        </is>
      </c>
      <c r="G145" s="24" t="inlineStr">
        <is>
          <t>100 ml Clear Diva Vintage Bulb Spray Bottle</t>
        </is>
      </c>
      <c r="H145" s="24" t="inlineStr">
        <is>
          <t>Glass Bottle</t>
        </is>
      </c>
      <c r="I145" s="24" t="inlineStr">
        <is>
          <t>Diva</t>
        </is>
      </c>
      <c r="J145" s="24" t="inlineStr">
        <is>
          <t>diva-100ml-clear-18-415-antiquespray</t>
        </is>
      </c>
      <c r="K145" s="24" t="inlineStr">
        <is>
          <t>kh7531nbgg1qq64jcwdmf6pm1d83jrw8</t>
        </is>
      </c>
      <c r="L145" s="24" t="inlineStr">
        <is>
          <t>GB-DVA-CLR-100ML-ASP-BLK</t>
        </is>
      </c>
      <c r="M145" s="24" t="inlineStr">
        <is>
          <t>GBDiva100AnSpBlk</t>
        </is>
      </c>
      <c r="N145" s="24" t="inlineStr">
        <is>
          <t>GBDiva100AnSpBlk</t>
        </is>
      </c>
      <c r="O145" s="25" t="inlineStr">
        <is>
          <t>https://www.bestbottles.com/product/diva-design-100-ml-glass-bottle-black-vintage-style-bulb-sprayer-shiny-silver-collar-cap</t>
        </is>
      </c>
      <c r="P145" s="23" t="inlineStr">
        <is>
          <t>No</t>
        </is>
      </c>
      <c r="Q145" s="24" t="n"/>
      <c r="R145" s="24" t="n">
        <v>9</v>
      </c>
      <c r="S145" s="24" t="n">
        <v>6.3</v>
      </c>
      <c r="T145" s="24" t="n">
        <v>6.3</v>
      </c>
      <c r="U145" s="24" t="n"/>
      <c r="V145" s="24" t="n"/>
      <c r="W145" s="24" t="n"/>
      <c r="X145" s="24" t="n"/>
    </row>
    <row r="146" ht="15" customHeight="1" s="19">
      <c r="A146" s="21" t="n">
        <v>145</v>
      </c>
      <c r="B146" s="21" t="inlineStr">
        <is>
          <t>Diva</t>
        </is>
      </c>
      <c r="C146" s="21" t="n">
        <v>100</v>
      </c>
      <c r="D146" s="21" t="inlineStr">
        <is>
          <t>Clear</t>
        </is>
      </c>
      <c r="E146" s="21" t="inlineStr">
        <is>
          <t>Vintage Bulb Sprayer with Tassel</t>
        </is>
      </c>
      <c r="F146" s="21" t="inlineStr">
        <is>
          <t>18-415</t>
        </is>
      </c>
      <c r="G146" s="21" t="inlineStr">
        <is>
          <t>100 ml Clear Diva Vintage Bulb Spray Bottle with Tassel</t>
        </is>
      </c>
      <c r="H146" s="21" t="inlineStr">
        <is>
          <t>Glass Bottle</t>
        </is>
      </c>
      <c r="I146" s="21" t="inlineStr">
        <is>
          <t>Diva</t>
        </is>
      </c>
      <c r="J146" s="21" t="inlineStr">
        <is>
          <t>diva-100ml-clear-18-415-antiquespray-tassel</t>
        </is>
      </c>
      <c r="K146" s="21" t="inlineStr">
        <is>
          <t>kh73tf7fhzvfjxpc2ns2p2cd3983kz92</t>
        </is>
      </c>
      <c r="L146" s="21" t="inlineStr">
        <is>
          <t>GB-DVA-CLR-100ML-AST-BLK</t>
        </is>
      </c>
      <c r="M146" s="21" t="inlineStr">
        <is>
          <t>GBDiva100AnSpTslBlk</t>
        </is>
      </c>
      <c r="N146" s="21" t="inlineStr">
        <is>
          <t>GBDiva100AnSpTslBlk</t>
        </is>
      </c>
      <c r="O146" s="22" t="inlineStr">
        <is>
          <t>https://www.bestbottles.com/product/diva-design-100-ml-glass-bottle-black-vintage-style-sprayer-with-tassel-shiny-silver-collar</t>
        </is>
      </c>
      <c r="P146" s="23" t="inlineStr">
        <is>
          <t>No</t>
        </is>
      </c>
      <c r="Q146" s="21" t="n"/>
      <c r="R146" s="21" t="n">
        <v>9</v>
      </c>
      <c r="S146" s="21" t="n">
        <v>7.05</v>
      </c>
      <c r="T146" s="21" t="n">
        <v>7.05</v>
      </c>
      <c r="U146" s="21" t="n"/>
      <c r="V146" s="21" t="n"/>
      <c r="W146" s="21" t="n"/>
      <c r="X146" s="21" t="n"/>
    </row>
    <row r="147" ht="15" customHeight="1" s="19">
      <c r="A147" s="24" t="n">
        <v>146</v>
      </c>
      <c r="B147" s="24" t="inlineStr">
        <is>
          <t>Elegant</t>
        </is>
      </c>
      <c r="C147" s="24" t="n">
        <v>15</v>
      </c>
      <c r="D147" s="24" t="inlineStr">
        <is>
          <t>Clear</t>
        </is>
      </c>
      <c r="E147" s="24" t="inlineStr">
        <is>
          <t>Cap/Closure</t>
        </is>
      </c>
      <c r="F147" s="24" t="inlineStr">
        <is>
          <t>13-415</t>
        </is>
      </c>
      <c r="G147" s="24" t="inlineStr">
        <is>
          <t>15 ml Clear Elegant Bottle with Cap</t>
        </is>
      </c>
      <c r="H147" s="24" t="inlineStr">
        <is>
          <t>Glass Bottle</t>
        </is>
      </c>
      <c r="I147" s="24" t="inlineStr">
        <is>
          <t>Elegant</t>
        </is>
      </c>
      <c r="J147" s="24" t="inlineStr">
        <is>
          <t>elegant-15ml-clear-13-415</t>
        </is>
      </c>
      <c r="K147" s="24" t="inlineStr">
        <is>
          <t>kh7f9bdbydjnqqj9twq53t7wyn83kj1c</t>
        </is>
      </c>
      <c r="L147" s="24" t="inlineStr">
        <is>
          <t>GB-ELG-CLR-15ML-SLV-T-01</t>
        </is>
      </c>
      <c r="M147" s="24" t="inlineStr">
        <is>
          <t>GBElg15Sl</t>
        </is>
      </c>
      <c r="N147" s="24" t="inlineStr">
        <is>
          <t>GBElg15Sl, GBElg15WhtSht, GBElg15Gl, GBElg15BlkSht</t>
        </is>
      </c>
      <c r="O147" s="25" t="inlineStr">
        <is>
          <t>https://www.bestbottles.com/product/elegant-design-15-ml-glass-bottle-shiny-silver-cap</t>
        </is>
      </c>
      <c r="P147" s="23" t="inlineStr">
        <is>
          <t>No</t>
        </is>
      </c>
      <c r="Q147" s="24" t="n"/>
      <c r="R147" s="24" t="n">
        <v>4</v>
      </c>
      <c r="S147" s="24" t="n">
        <v>0.62</v>
      </c>
      <c r="T147" s="24" t="n">
        <v>0.62</v>
      </c>
      <c r="U147" s="24" t="n"/>
      <c r="V147" s="24" t="n"/>
      <c r="W147" s="24" t="n"/>
      <c r="X147" s="24" t="n"/>
    </row>
    <row r="148" ht="15" customHeight="1" s="19">
      <c r="A148" s="21" t="n">
        <v>147</v>
      </c>
      <c r="B148" s="21" t="inlineStr">
        <is>
          <t>Elegant</t>
        </is>
      </c>
      <c r="C148" s="21" t="n">
        <v>15</v>
      </c>
      <c r="D148" s="21" t="inlineStr">
        <is>
          <t>Clear</t>
        </is>
      </c>
      <c r="E148" s="21" t="inlineStr">
        <is>
          <t>Cap/Closure</t>
        </is>
      </c>
      <c r="F148" s="21" t="inlineStr">
        <is>
          <t>13-415</t>
        </is>
      </c>
      <c r="G148" s="21" t="inlineStr">
        <is>
          <t>15 ml Clear Elegant Bottle</t>
        </is>
      </c>
      <c r="H148" s="21" t="inlineStr">
        <is>
          <t>Glass Bottle</t>
        </is>
      </c>
      <c r="I148" s="21" t="inlineStr">
        <is>
          <t>Elegant Collection</t>
        </is>
      </c>
      <c r="J148" s="21" t="inlineStr">
        <is>
          <t>elegant-15ml-clear-13-415-capclosure</t>
        </is>
      </c>
      <c r="K148" s="21" t="inlineStr">
        <is>
          <t>kh7f3pa2f9jrxjf0yh49na1c5s83jvet</t>
        </is>
      </c>
      <c r="L148" s="21" t="n"/>
      <c r="M148" s="21" t="n"/>
      <c r="N148" s="21" t="n"/>
      <c r="O148" s="21" t="n"/>
      <c r="P148" s="23" t="inlineStr">
        <is>
          <t>No</t>
        </is>
      </c>
      <c r="Q148" s="21" t="n"/>
      <c r="R148" s="21" t="n">
        <v>1</v>
      </c>
      <c r="S148" s="21" t="n">
        <v>0.88</v>
      </c>
      <c r="T148" s="21" t="n">
        <v>0.88</v>
      </c>
      <c r="U148" s="21" t="n"/>
      <c r="V148" s="21" t="n"/>
      <c r="W148" s="21" t="n"/>
      <c r="X148" s="21" t="n"/>
    </row>
    <row r="149" ht="15" customHeight="1" s="19">
      <c r="A149" s="24" t="n">
        <v>148</v>
      </c>
      <c r="B149" s="24" t="inlineStr">
        <is>
          <t>Elegant</t>
        </is>
      </c>
      <c r="C149" s="24" t="n">
        <v>15</v>
      </c>
      <c r="D149" s="24" t="inlineStr">
        <is>
          <t>Clear</t>
        </is>
      </c>
      <c r="E149" s="24" t="inlineStr">
        <is>
          <t>Fine Mist Sprayer</t>
        </is>
      </c>
      <c r="F149" s="24" t="inlineStr">
        <is>
          <t>13-415</t>
        </is>
      </c>
      <c r="G149" s="24" t="inlineStr">
        <is>
          <t>15 ml Clear Elegant Fine Mist Spray Bottle</t>
        </is>
      </c>
      <c r="H149" s="24" t="inlineStr">
        <is>
          <t>Glass Bottle</t>
        </is>
      </c>
      <c r="I149" s="24" t="inlineStr">
        <is>
          <t>Elegant</t>
        </is>
      </c>
      <c r="J149" s="24" t="inlineStr">
        <is>
          <t>elegant-15ml-clear-13-415-finemist</t>
        </is>
      </c>
      <c r="K149" s="24" t="inlineStr">
        <is>
          <t>kh7595ttv3wcf0r7ydp2hh7j4d83je87</t>
        </is>
      </c>
      <c r="L149" s="24" t="inlineStr">
        <is>
          <t>GB-ELG-CLR-15ML-SPR-MBLK</t>
        </is>
      </c>
      <c r="M149" s="24" t="inlineStr">
        <is>
          <t>GBElg15SpryBlkMatt</t>
        </is>
      </c>
      <c r="N149" s="24" t="inlineStr">
        <is>
          <t>GBElg15SpryBlkMatt</t>
        </is>
      </c>
      <c r="O149" s="25" t="inlineStr">
        <is>
          <t>https://www.bestbottles.com/product/elegant-design-15-ml-glass-bottle-matte-black-spray</t>
        </is>
      </c>
      <c r="P149" s="23" t="inlineStr">
        <is>
          <t>No</t>
        </is>
      </c>
      <c r="Q149" s="24" t="n"/>
      <c r="R149" s="24" t="n">
        <v>8</v>
      </c>
      <c r="S149" s="24" t="n">
        <v>1.09</v>
      </c>
      <c r="T149" s="24" t="n">
        <v>1.09</v>
      </c>
      <c r="U149" s="24" t="n"/>
      <c r="V149" s="24" t="n"/>
      <c r="W149" s="24" t="n"/>
      <c r="X149" s="24" t="n"/>
    </row>
    <row r="150" ht="15" customHeight="1" s="19">
      <c r="A150" s="21" t="n">
        <v>149</v>
      </c>
      <c r="B150" s="21" t="inlineStr">
        <is>
          <t>Elegant</t>
        </is>
      </c>
      <c r="C150" s="21" t="n">
        <v>15</v>
      </c>
      <c r="D150" s="21" t="inlineStr">
        <is>
          <t>Clear</t>
        </is>
      </c>
      <c r="E150" s="21" t="inlineStr">
        <is>
          <t>Plastic Roller Ball</t>
        </is>
      </c>
      <c r="F150" s="21" t="inlineStr">
        <is>
          <t>13-415</t>
        </is>
      </c>
      <c r="G150" s="21" t="inlineStr">
        <is>
          <t>15 ml Clear Elegant Roll-On Bottle</t>
        </is>
      </c>
      <c r="H150" s="21" t="inlineStr">
        <is>
          <t>Glass Bottle</t>
        </is>
      </c>
      <c r="I150" s="21" t="inlineStr">
        <is>
          <t>Elegant</t>
        </is>
      </c>
      <c r="J150" s="21" t="inlineStr">
        <is>
          <t>elegant-15ml-clear-13-415-rollon</t>
        </is>
      </c>
      <c r="K150" s="21" t="inlineStr">
        <is>
          <t>kh75nn930rfcsj8zhjpmv0vjrn83kqfy</t>
        </is>
      </c>
      <c r="L150" s="21" t="inlineStr">
        <is>
          <t>GB-ELG-CLR-15ML-ROL-SSLV</t>
        </is>
      </c>
      <c r="M150" s="21" t="inlineStr">
        <is>
          <t>GBElg15RollSlSh</t>
        </is>
      </c>
      <c r="N150" s="21" t="inlineStr">
        <is>
          <t>GBElg15RollSlSh, GBElg15RollGlSh, GBElg15RollPinkDot, GBElg15RollSlDot, GBElg15RollSlMatt, GBElg15RollBlkSh, GBElg15RollCuMatt, GBElg15RollGlMatt</t>
        </is>
      </c>
      <c r="O150" s="22" t="inlineStr">
        <is>
          <t>https://www.bestbottles.com/product/elegant-design-15-ml-glass-bottle-plastic-roller-ball-plug-shiny-silver-cap</t>
        </is>
      </c>
      <c r="P150" s="23" t="inlineStr">
        <is>
          <t>No</t>
        </is>
      </c>
      <c r="Q150" s="21" t="n"/>
      <c r="R150" s="21" t="n">
        <v>18</v>
      </c>
      <c r="S150" s="21" t="n">
        <v>0.8</v>
      </c>
      <c r="T150" s="21" t="n">
        <v>0.95</v>
      </c>
      <c r="U150" s="21" t="n"/>
      <c r="V150" s="21" t="n"/>
      <c r="W150" s="21" t="n"/>
      <c r="X150" s="21" t="n"/>
    </row>
    <row r="151" ht="15" customHeight="1" s="19">
      <c r="A151" s="24" t="n">
        <v>150</v>
      </c>
      <c r="B151" s="24" t="inlineStr">
        <is>
          <t>Elegant</t>
        </is>
      </c>
      <c r="C151" s="24" t="n">
        <v>15</v>
      </c>
      <c r="D151" s="24" t="inlineStr">
        <is>
          <t>Frosted</t>
        </is>
      </c>
      <c r="E151" s="24" t="inlineStr">
        <is>
          <t>Cap/Closure</t>
        </is>
      </c>
      <c r="F151" s="24" t="inlineStr">
        <is>
          <t>13-415</t>
        </is>
      </c>
      <c r="G151" s="24" t="inlineStr">
        <is>
          <t>15 ml Frosted Elegant Bottle with Cap</t>
        </is>
      </c>
      <c r="H151" s="24" t="inlineStr">
        <is>
          <t>Glass Bottle</t>
        </is>
      </c>
      <c r="I151" s="24" t="inlineStr">
        <is>
          <t>Elegant</t>
        </is>
      </c>
      <c r="J151" s="24" t="inlineStr">
        <is>
          <t>elegant-15ml-frosted-13-415</t>
        </is>
      </c>
      <c r="K151" s="24" t="inlineStr">
        <is>
          <t>kh71veqysgwzxbv7yamqanp16983kehn</t>
        </is>
      </c>
      <c r="L151" s="24" t="inlineStr">
        <is>
          <t>GB-ELG-FRS-15ML-WHT-S</t>
        </is>
      </c>
      <c r="M151" s="24" t="inlineStr">
        <is>
          <t>GBElgFrst15WhtSht</t>
        </is>
      </c>
      <c r="N151" s="24" t="inlineStr">
        <is>
          <t>GBElgFrst15WhtSht, GBElgFrst15BlkSht, GBElgFrst15Gl, GBElgFrst15Sl</t>
        </is>
      </c>
      <c r="O151" s="25" t="inlineStr">
        <is>
          <t>https://www.bestbottles.com/product/elegant-design-15-ml-frosted-glass-bottle-short-white-cap</t>
        </is>
      </c>
      <c r="P151" s="23" t="inlineStr">
        <is>
          <t>No</t>
        </is>
      </c>
      <c r="Q151" s="24" t="n"/>
      <c r="R151" s="24" t="n">
        <v>5</v>
      </c>
      <c r="S151" s="24" t="n">
        <v>0.64</v>
      </c>
      <c r="T151" s="24" t="n">
        <v>0.82</v>
      </c>
      <c r="U151" s="24" t="n"/>
      <c r="V151" s="24" t="n"/>
      <c r="W151" s="24" t="n"/>
      <c r="X151" s="24" t="n"/>
    </row>
    <row r="152" ht="15" customHeight="1" s="19">
      <c r="A152" s="21" t="n">
        <v>151</v>
      </c>
      <c r="B152" s="21" t="inlineStr">
        <is>
          <t>Elegant</t>
        </is>
      </c>
      <c r="C152" s="21" t="n">
        <v>15</v>
      </c>
      <c r="D152" s="21" t="inlineStr">
        <is>
          <t>Frosted</t>
        </is>
      </c>
      <c r="E152" s="21" t="inlineStr">
        <is>
          <t>Fine Mist Sprayer</t>
        </is>
      </c>
      <c r="F152" s="21" t="inlineStr">
        <is>
          <t>13-415</t>
        </is>
      </c>
      <c r="G152" s="21" t="inlineStr">
        <is>
          <t>15 ml Frosted Elegant Fine Mist Spray Bottle</t>
        </is>
      </c>
      <c r="H152" s="21" t="inlineStr">
        <is>
          <t>Glass Bottle</t>
        </is>
      </c>
      <c r="I152" s="21" t="inlineStr">
        <is>
          <t>Elegant</t>
        </is>
      </c>
      <c r="J152" s="21" t="inlineStr">
        <is>
          <t>elegant-15ml-frosted-13-415-finemist</t>
        </is>
      </c>
      <c r="K152" s="21" t="inlineStr">
        <is>
          <t>kh7e8dmrmv2tbvx0j5qzgkdm7h83kyep</t>
        </is>
      </c>
      <c r="L152" s="21" t="inlineStr">
        <is>
          <t>GB-ELG-FRS-15ML-SPR-BLK-01</t>
        </is>
      </c>
      <c r="M152" s="21" t="inlineStr">
        <is>
          <t>GBElgFrst15SpryBlkMatt</t>
        </is>
      </c>
      <c r="N152" s="21" t="inlineStr">
        <is>
          <t>GBElgFrst15SpryBlkMatt</t>
        </is>
      </c>
      <c r="O152" s="22" t="inlineStr">
        <is>
          <t>https://www.bestbottles.com/product/elegant-design-15-ml-frosted-glass-bottle-matte-black-spray</t>
        </is>
      </c>
      <c r="P152" s="23" t="inlineStr">
        <is>
          <t>No</t>
        </is>
      </c>
      <c r="Q152" s="21" t="n"/>
      <c r="R152" s="21" t="n">
        <v>7</v>
      </c>
      <c r="S152" s="21" t="n">
        <v>1.17</v>
      </c>
      <c r="T152" s="21" t="n">
        <v>1.17</v>
      </c>
      <c r="U152" s="21" t="n"/>
      <c r="V152" s="21" t="n"/>
      <c r="W152" s="21" t="n"/>
      <c r="X152" s="21" t="n"/>
    </row>
    <row r="153" ht="15" customHeight="1" s="19">
      <c r="A153" s="24" t="n">
        <v>152</v>
      </c>
      <c r="B153" s="24" t="inlineStr">
        <is>
          <t>Elegant</t>
        </is>
      </c>
      <c r="C153" s="24" t="n">
        <v>15</v>
      </c>
      <c r="D153" s="24" t="inlineStr">
        <is>
          <t>Frosted</t>
        </is>
      </c>
      <c r="E153" s="24" t="inlineStr">
        <is>
          <t>Plastic Roller Ball</t>
        </is>
      </c>
      <c r="F153" s="24" t="inlineStr">
        <is>
          <t>13-415</t>
        </is>
      </c>
      <c r="G153" s="24" t="inlineStr">
        <is>
          <t>15 ml Frosted Elegant Roll-On Bottle</t>
        </is>
      </c>
      <c r="H153" s="24" t="inlineStr">
        <is>
          <t>Glass Bottle</t>
        </is>
      </c>
      <c r="I153" s="24" t="inlineStr">
        <is>
          <t>Elegant</t>
        </is>
      </c>
      <c r="J153" s="24" t="inlineStr">
        <is>
          <t>elegant-15ml-frosted-13-415-rollon</t>
        </is>
      </c>
      <c r="K153" s="24" t="inlineStr">
        <is>
          <t>kh7djbh1phf8jqmv7mfe7neb6n83jgmx</t>
        </is>
      </c>
      <c r="L153" s="24" t="inlineStr">
        <is>
          <t>GB-ELG-FRS-15ML-RBL-SLV-01</t>
        </is>
      </c>
      <c r="M153" s="24" t="inlineStr">
        <is>
          <t>GBElgFrst15RollSlDot</t>
        </is>
      </c>
      <c r="N153" s="24" t="inlineStr">
        <is>
          <t>GBElgFrst15RollSlDot, GBElgFrst15RollPinkDot, GBElgFrst15RollSlMatt, GBElgFrst15RollGlSh, GBElgFrst15RollSlSh, GBElgFrst15RollCuMatt, GBElgFrst15RollBlkSh</t>
        </is>
      </c>
      <c r="O153" s="25" t="inlineStr">
        <is>
          <t>https://www.bestbottles.com/product/elegant-design-15-ml-frosted-glass-bottle-plastic-roller-ball-plug-silver-cap-with-dots</t>
        </is>
      </c>
      <c r="P153" s="23" t="inlineStr">
        <is>
          <t>No</t>
        </is>
      </c>
      <c r="Q153" s="24" t="n"/>
      <c r="R153" s="24" t="n">
        <v>16</v>
      </c>
      <c r="S153" s="24" t="n">
        <v>0.9399999999999999</v>
      </c>
      <c r="T153" s="24" t="n">
        <v>1.09</v>
      </c>
      <c r="U153" s="24" t="n"/>
      <c r="V153" s="24" t="n"/>
      <c r="W153" s="24" t="n"/>
      <c r="X153" s="24" t="n"/>
    </row>
    <row r="154" ht="15" customHeight="1" s="19">
      <c r="A154" s="21" t="n">
        <v>153</v>
      </c>
      <c r="B154" s="21" t="inlineStr">
        <is>
          <t>Elegant</t>
        </is>
      </c>
      <c r="C154" s="21" t="n">
        <v>30</v>
      </c>
      <c r="D154" s="21" t="inlineStr">
        <is>
          <t>Clear</t>
        </is>
      </c>
      <c r="E154" s="21" t="inlineStr">
        <is>
          <t>Cap/Closure</t>
        </is>
      </c>
      <c r="F154" s="21" t="inlineStr">
        <is>
          <t>15-415</t>
        </is>
      </c>
      <c r="G154" s="21" t="inlineStr">
        <is>
          <t>30 ml Clear Elegant Bottle with Cap</t>
        </is>
      </c>
      <c r="H154" s="21" t="inlineStr">
        <is>
          <t>Glass Bottle</t>
        </is>
      </c>
      <c r="I154" s="21" t="inlineStr">
        <is>
          <t>Elegant</t>
        </is>
      </c>
      <c r="J154" s="21" t="inlineStr">
        <is>
          <t>elegant-30ml-clear-15-415</t>
        </is>
      </c>
      <c r="K154" s="21" t="inlineStr">
        <is>
          <t>kh73kry2fmg44hwm38d9pwzvgn83kk83</t>
        </is>
      </c>
      <c r="L154" s="21" t="inlineStr">
        <is>
          <t>GB-ELG-CLR-30ML-SGLD-T</t>
        </is>
      </c>
      <c r="M154" s="21" t="inlineStr">
        <is>
          <t>GBElg30GlCap</t>
        </is>
      </c>
      <c r="N154" s="21" t="inlineStr">
        <is>
          <t>GBElg30GlCap</t>
        </is>
      </c>
      <c r="O154" s="22" t="inlineStr">
        <is>
          <t>https://www.bestbottles.com/product/elegant-design-30-ml-clear-glass-bottle-shiny-gold-cap</t>
        </is>
      </c>
      <c r="P154" s="23" t="inlineStr">
        <is>
          <t>No</t>
        </is>
      </c>
      <c r="Q154" s="21" t="n"/>
      <c r="R154" s="21" t="n">
        <v>2</v>
      </c>
      <c r="S154" s="21" t="n">
        <v>1.9</v>
      </c>
      <c r="T154" s="21" t="n">
        <v>1.9</v>
      </c>
      <c r="U154" s="21" t="n"/>
      <c r="V154" s="21" t="n"/>
      <c r="W154" s="21" t="n"/>
      <c r="X154" s="21" t="n"/>
    </row>
    <row r="155" ht="15" customHeight="1" s="19">
      <c r="A155" s="24" t="n">
        <v>154</v>
      </c>
      <c r="B155" s="24" t="inlineStr">
        <is>
          <t>Elegant</t>
        </is>
      </c>
      <c r="C155" s="24" t="n">
        <v>30</v>
      </c>
      <c r="D155" s="24" t="inlineStr">
        <is>
          <t>Clear</t>
        </is>
      </c>
      <c r="E155" s="24" t="inlineStr">
        <is>
          <t>Perfume Spray Pump</t>
        </is>
      </c>
      <c r="F155" s="24" t="inlineStr">
        <is>
          <t>15-415</t>
        </is>
      </c>
      <c r="G155" s="24" t="inlineStr">
        <is>
          <t>30 ml Clear Elegant Bottle</t>
        </is>
      </c>
      <c r="H155" s="24" t="inlineStr">
        <is>
          <t>Glass Bottle</t>
        </is>
      </c>
      <c r="I155" s="24" t="inlineStr">
        <is>
          <t>Elegant</t>
        </is>
      </c>
      <c r="J155" s="24" t="inlineStr">
        <is>
          <t>elegant-30ml-clear-15-415-perfumespray</t>
        </is>
      </c>
      <c r="K155" s="24" t="inlineStr">
        <is>
          <t>kh7b3wf2n6x82ns2yw37zw216h83jd96</t>
        </is>
      </c>
      <c r="L155" s="24" t="inlineStr">
        <is>
          <t>GB-ELG-CLR-30ML-SPR-SGLD</t>
        </is>
      </c>
      <c r="M155" s="24" t="inlineStr">
        <is>
          <t>GBElg30SpryShGl</t>
        </is>
      </c>
      <c r="N155" s="24" t="inlineStr">
        <is>
          <t>GBElg30SpryShGl, GBElg30SpryShnSl, GBElg30SpryMattSl, GBElg30SpryMattGl, GBElg30SpryBlk</t>
        </is>
      </c>
      <c r="O155" s="25" t="inlineStr">
        <is>
          <t>https://www.bestbottles.com/product/elegant-design-30-ml-clear-glass-bottle-sprayer-shiny-gold-cap</t>
        </is>
      </c>
      <c r="P155" s="23" t="inlineStr">
        <is>
          <t>No</t>
        </is>
      </c>
      <c r="Q155" s="24" t="n"/>
      <c r="R155" s="24" t="n">
        <v>5</v>
      </c>
      <c r="S155" s="24" t="n">
        <v>2.25</v>
      </c>
      <c r="T155" s="24" t="n">
        <v>2.25</v>
      </c>
      <c r="U155" s="24" t="n"/>
      <c r="V155" s="24" t="n"/>
      <c r="W155" s="24" t="n"/>
      <c r="X155" s="24" t="n"/>
    </row>
    <row r="156" ht="15" customHeight="1" s="19">
      <c r="A156" s="21" t="n">
        <v>155</v>
      </c>
      <c r="B156" s="21" t="inlineStr">
        <is>
          <t>Elegant</t>
        </is>
      </c>
      <c r="C156" s="21" t="n">
        <v>30</v>
      </c>
      <c r="D156" s="21" t="inlineStr">
        <is>
          <t>Frosted</t>
        </is>
      </c>
      <c r="E156" s="21" t="inlineStr">
        <is>
          <t>Cap/Closure</t>
        </is>
      </c>
      <c r="F156" s="21" t="inlineStr">
        <is>
          <t>15-415</t>
        </is>
      </c>
      <c r="G156" s="21" t="inlineStr">
        <is>
          <t>30 ml Frosted Elegant Bottle with Cap</t>
        </is>
      </c>
      <c r="H156" s="21" t="inlineStr">
        <is>
          <t>Glass Bottle</t>
        </is>
      </c>
      <c r="I156" s="21" t="inlineStr">
        <is>
          <t>Elegant</t>
        </is>
      </c>
      <c r="J156" s="21" t="inlineStr">
        <is>
          <t>elegant-30ml-frosted-15-415</t>
        </is>
      </c>
      <c r="K156" s="21" t="inlineStr">
        <is>
          <t>kh7e43kdr2zv5p5efy1hd21gcd83kekh</t>
        </is>
      </c>
      <c r="L156" s="21" t="n"/>
      <c r="M156" s="21" t="n"/>
      <c r="N156" s="21" t="n"/>
      <c r="O156" s="21" t="n"/>
      <c r="P156" s="23" t="inlineStr">
        <is>
          <t>No</t>
        </is>
      </c>
      <c r="Q156" s="21" t="n"/>
      <c r="R156" s="21" t="n">
        <v>2</v>
      </c>
      <c r="S156" s="21" t="n">
        <v>1.9</v>
      </c>
      <c r="T156" s="21" t="n">
        <v>1.9</v>
      </c>
      <c r="U156" s="21" t="n"/>
      <c r="V156" s="21" t="n"/>
      <c r="W156" s="21" t="n"/>
      <c r="X156" s="21" t="n"/>
    </row>
    <row r="157" ht="15" customHeight="1" s="19">
      <c r="A157" s="24" t="n">
        <v>156</v>
      </c>
      <c r="B157" s="24" t="inlineStr">
        <is>
          <t>Elegant</t>
        </is>
      </c>
      <c r="C157" s="24" t="n">
        <v>30</v>
      </c>
      <c r="D157" s="24" t="inlineStr">
        <is>
          <t>Frosted</t>
        </is>
      </c>
      <c r="E157" s="24" t="inlineStr">
        <is>
          <t>Perfume Spray Pump</t>
        </is>
      </c>
      <c r="F157" s="24" t="inlineStr">
        <is>
          <t>15-415</t>
        </is>
      </c>
      <c r="G157" s="24" t="inlineStr">
        <is>
          <t>30 ml Frosted Elegant Bottle</t>
        </is>
      </c>
      <c r="H157" s="24" t="inlineStr">
        <is>
          <t>Glass Bottle</t>
        </is>
      </c>
      <c r="I157" s="24" t="inlineStr">
        <is>
          <t>Elegant</t>
        </is>
      </c>
      <c r="J157" s="24" t="inlineStr">
        <is>
          <t>elegant-30ml-frosted-15-415-perfumespray</t>
        </is>
      </c>
      <c r="K157" s="24" t="inlineStr">
        <is>
          <t>kh731f9bymyp0epskmhyrf11e983kas9</t>
        </is>
      </c>
      <c r="L157" s="24" t="inlineStr">
        <is>
          <t>GB-ELG-FRS-30ML-SPR-SGLD</t>
        </is>
      </c>
      <c r="M157" s="24" t="inlineStr">
        <is>
          <t>GBElgFrst30SpryShnGl</t>
        </is>
      </c>
      <c r="N157" s="24" t="inlineStr">
        <is>
          <t>GBElgFrst30SpryShnGl, GBElgFrst30SpryShSl, GBElgFrst30SpryMattSl, GBElgFrst30SpryMattGl, GBElgFrst30SpryBlk</t>
        </is>
      </c>
      <c r="O157" s="25" t="inlineStr">
        <is>
          <t>https://www.bestbottles.com/product/elegant-design-30-ml-frosted-glass-bottle-sprayer-shiny-gold-cap</t>
        </is>
      </c>
      <c r="P157" s="23" t="inlineStr">
        <is>
          <t>No</t>
        </is>
      </c>
      <c r="Q157" s="24" t="n"/>
      <c r="R157" s="24" t="n">
        <v>5</v>
      </c>
      <c r="S157" s="24" t="n">
        <v>2.75</v>
      </c>
      <c r="T157" s="24" t="n">
        <v>2.75</v>
      </c>
      <c r="U157" s="24" t="n"/>
      <c r="V157" s="24" t="n"/>
      <c r="W157" s="24" t="n"/>
      <c r="X157" s="24" t="n"/>
    </row>
    <row r="158" ht="15" customHeight="1" s="19">
      <c r="A158" s="21" t="n">
        <v>157</v>
      </c>
      <c r="B158" s="21" t="inlineStr">
        <is>
          <t>Elegant</t>
        </is>
      </c>
      <c r="C158" s="21" t="n">
        <v>60</v>
      </c>
      <c r="D158" s="21" t="inlineStr">
        <is>
          <t>Clear</t>
        </is>
      </c>
      <c r="E158" s="21" t="inlineStr">
        <is>
          <t>Dropper</t>
        </is>
      </c>
      <c r="F158" s="21" t="inlineStr">
        <is>
          <t>18-415</t>
        </is>
      </c>
      <c r="G158" s="21" t="inlineStr">
        <is>
          <t>60 ml Clear Elegant Dropper Bottle</t>
        </is>
      </c>
      <c r="H158" s="21" t="inlineStr">
        <is>
          <t>Glass Bottle</t>
        </is>
      </c>
      <c r="I158" s="21" t="inlineStr">
        <is>
          <t>Elegant</t>
        </is>
      </c>
      <c r="J158" s="21" t="inlineStr">
        <is>
          <t>elegant-60ml-clear-18-415-dropper</t>
        </is>
      </c>
      <c r="K158" s="21" t="inlineStr">
        <is>
          <t>kh738r4s3dvygc315fccgvqtv983ke7x</t>
        </is>
      </c>
      <c r="L158" s="21" t="n"/>
      <c r="M158" s="21" t="n"/>
      <c r="N158" s="21" t="n"/>
      <c r="O158" s="21" t="n"/>
      <c r="P158" s="23" t="inlineStr">
        <is>
          <t>No</t>
        </is>
      </c>
      <c r="Q158" s="21" t="n"/>
      <c r="R158" s="21" t="n">
        <v>3</v>
      </c>
      <c r="S158" s="21" t="n">
        <v>1.9</v>
      </c>
      <c r="T158" s="21" t="n">
        <v>1.9</v>
      </c>
      <c r="U158" s="21" t="n"/>
      <c r="V158" s="21" t="n"/>
      <c r="W158" s="21" t="n"/>
      <c r="X158" s="21" t="n"/>
    </row>
    <row r="159" ht="15" customHeight="1" s="19">
      <c r="A159" s="24" t="n">
        <v>158</v>
      </c>
      <c r="B159" s="24" t="inlineStr">
        <is>
          <t>Elegant</t>
        </is>
      </c>
      <c r="C159" s="24" t="n">
        <v>60</v>
      </c>
      <c r="D159" s="24" t="inlineStr">
        <is>
          <t>Clear</t>
        </is>
      </c>
      <c r="E159" s="24" t="inlineStr">
        <is>
          <t>Lotion Pump</t>
        </is>
      </c>
      <c r="F159" s="24" t="inlineStr">
        <is>
          <t>18-415</t>
        </is>
      </c>
      <c r="G159" s="24" t="inlineStr">
        <is>
          <t>60 ml Clear Elegant Lotion Pump Bottle</t>
        </is>
      </c>
      <c r="H159" s="24" t="inlineStr">
        <is>
          <t>Glass Bottle</t>
        </is>
      </c>
      <c r="I159" s="24" t="inlineStr">
        <is>
          <t>Elegant</t>
        </is>
      </c>
      <c r="J159" s="24" t="inlineStr">
        <is>
          <t>elegant-60ml-clear-18-415-lotionpump</t>
        </is>
      </c>
      <c r="K159" s="24" t="inlineStr">
        <is>
          <t>kh7ary93145ccncnar9e8m9xyn83jkdc</t>
        </is>
      </c>
      <c r="L159" s="24" t="n"/>
      <c r="M159" s="24" t="n"/>
      <c r="N159" s="24" t="n"/>
      <c r="O159" s="24" t="n"/>
      <c r="P159" s="23" t="inlineStr">
        <is>
          <t>No</t>
        </is>
      </c>
      <c r="Q159" s="24" t="n"/>
      <c r="R159" s="24" t="n">
        <v>8</v>
      </c>
      <c r="S159" s="24" t="n">
        <v>2.75</v>
      </c>
      <c r="T159" s="24" t="n">
        <v>2.75</v>
      </c>
      <c r="U159" s="24" t="n"/>
      <c r="V159" s="24" t="n"/>
      <c r="W159" s="24" t="n"/>
      <c r="X159" s="24" t="n"/>
    </row>
    <row r="160" ht="15" customHeight="1" s="19">
      <c r="A160" s="21" t="n">
        <v>159</v>
      </c>
      <c r="B160" s="21" t="inlineStr">
        <is>
          <t>Elegant</t>
        </is>
      </c>
      <c r="C160" s="21" t="n">
        <v>60</v>
      </c>
      <c r="D160" s="21" t="inlineStr">
        <is>
          <t>Clear</t>
        </is>
      </c>
      <c r="E160" s="21" t="inlineStr">
        <is>
          <t>Perfume Spray Pump</t>
        </is>
      </c>
      <c r="F160" s="21" t="inlineStr">
        <is>
          <t>18-415</t>
        </is>
      </c>
      <c r="G160" s="21" t="inlineStr">
        <is>
          <t>60 ml Clear Elegant Bottle</t>
        </is>
      </c>
      <c r="H160" s="21" t="inlineStr">
        <is>
          <t>Glass Bottle</t>
        </is>
      </c>
      <c r="I160" s="21" t="inlineStr">
        <is>
          <t>Elegant</t>
        </is>
      </c>
      <c r="J160" s="21" t="inlineStr">
        <is>
          <t>elegant-60ml-clear-18-415-perfumespray</t>
        </is>
      </c>
      <c r="K160" s="21" t="inlineStr">
        <is>
          <t>kh78krgdf0nvb7mmce6f4yhdwx83ks19</t>
        </is>
      </c>
      <c r="L160" s="21" t="inlineStr">
        <is>
          <t>GB-ELG-CLR-60ML-SPR-SGLD</t>
        </is>
      </c>
      <c r="M160" s="21" t="inlineStr">
        <is>
          <t>GBElg60SpryShnGl</t>
        </is>
      </c>
      <c r="N160" s="21" t="inlineStr">
        <is>
          <t>GBElg60SpryShnGl, GBElg60SpryShnBlk, GBElg60SpryMtGl, GBElg60SpryShnSl, GBElg60SpryMtSl, GBElg60SpryCu</t>
        </is>
      </c>
      <c r="O160" s="22" t="inlineStr">
        <is>
          <t>https://www.bestbottles.com/product/elegant-design-60-ml-glass-bottle-shiny-gold-spray-pump-and-cap</t>
        </is>
      </c>
      <c r="P160" s="23" t="inlineStr">
        <is>
          <t>No</t>
        </is>
      </c>
      <c r="Q160" s="21" t="n"/>
      <c r="R160" s="21" t="n">
        <v>6</v>
      </c>
      <c r="S160" s="21" t="n">
        <v>2.75</v>
      </c>
      <c r="T160" s="21" t="n">
        <v>2.75</v>
      </c>
      <c r="U160" s="21" t="n"/>
      <c r="V160" s="21" t="n"/>
      <c r="W160" s="21" t="n"/>
      <c r="X160" s="21" t="n"/>
    </row>
    <row r="161" ht="15" customHeight="1" s="19">
      <c r="A161" s="24" t="n">
        <v>160</v>
      </c>
      <c r="B161" s="24" t="inlineStr">
        <is>
          <t>Elegant</t>
        </is>
      </c>
      <c r="C161" s="24" t="n">
        <v>60</v>
      </c>
      <c r="D161" s="24" t="inlineStr">
        <is>
          <t>Clear</t>
        </is>
      </c>
      <c r="E161" s="24" t="inlineStr">
        <is>
          <t>Reducer</t>
        </is>
      </c>
      <c r="F161" s="24" t="inlineStr">
        <is>
          <t>18-415</t>
        </is>
      </c>
      <c r="G161" s="24" t="inlineStr">
        <is>
          <t>60 ml Clear Elegant Reducer Bottle</t>
        </is>
      </c>
      <c r="H161" s="24" t="inlineStr">
        <is>
          <t>Glass Bottle</t>
        </is>
      </c>
      <c r="I161" s="24" t="inlineStr">
        <is>
          <t>Elegant</t>
        </is>
      </c>
      <c r="J161" s="24" t="inlineStr">
        <is>
          <t>elegant-60ml-clear-18-415-reducer</t>
        </is>
      </c>
      <c r="K161" s="24" t="inlineStr">
        <is>
          <t>kh78v8k2bw261d25r35ged60ws83jb5e</t>
        </is>
      </c>
      <c r="L161" s="24" t="n"/>
      <c r="M161" s="24" t="n"/>
      <c r="N161" s="24" t="n"/>
      <c r="O161" s="24" t="n"/>
      <c r="P161" s="23" t="inlineStr">
        <is>
          <t>No</t>
        </is>
      </c>
      <c r="Q161" s="24" t="n"/>
      <c r="R161" s="24" t="n">
        <v>12</v>
      </c>
      <c r="S161" s="24" t="n">
        <v>1.72</v>
      </c>
      <c r="T161" s="24" t="n">
        <v>2</v>
      </c>
      <c r="U161" s="24" t="n"/>
      <c r="V161" s="24" t="n"/>
      <c r="W161" s="24" t="n"/>
      <c r="X161" s="24" t="n"/>
    </row>
    <row r="162" ht="15" customHeight="1" s="19">
      <c r="A162" s="21" t="n">
        <v>161</v>
      </c>
      <c r="B162" s="21" t="inlineStr">
        <is>
          <t>Elegant</t>
        </is>
      </c>
      <c r="C162" s="21" t="n">
        <v>60</v>
      </c>
      <c r="D162" s="21" t="inlineStr">
        <is>
          <t>Clear</t>
        </is>
      </c>
      <c r="E162" s="21" t="inlineStr">
        <is>
          <t>Vintage Bulb Sprayer</t>
        </is>
      </c>
      <c r="F162" s="21" t="inlineStr">
        <is>
          <t>18-415</t>
        </is>
      </c>
      <c r="G162" s="21" t="inlineStr">
        <is>
          <t>60 ml Clear Elegant Vintage Bulb Spray Bottle</t>
        </is>
      </c>
      <c r="H162" s="21" t="inlineStr">
        <is>
          <t>Glass Bottle</t>
        </is>
      </c>
      <c r="I162" s="21" t="inlineStr">
        <is>
          <t>Elegant</t>
        </is>
      </c>
      <c r="J162" s="21" t="inlineStr">
        <is>
          <t>elegant-60ml-clear-18-415-antiquespray</t>
        </is>
      </c>
      <c r="K162" s="21" t="inlineStr">
        <is>
          <t>kh7e3487c80yc7qegce0zhwc2x83jpfg</t>
        </is>
      </c>
      <c r="L162" s="21" t="inlineStr">
        <is>
          <t>GB-ELG-CLR-60ML-ASP-LVN</t>
        </is>
      </c>
      <c r="M162" s="21" t="inlineStr">
        <is>
          <t>GBElg60AnSpLvn</t>
        </is>
      </c>
      <c r="N162" s="21" t="inlineStr">
        <is>
          <t>GBElg60AnSpLvn, GBElg60AnSpPnk, GBElg60AnSpMtSl, GBElg60AnSpIvySl, GBElg60AnSpGl, GBElg60AnSpIvyGl, GBElg60AnSpWht, GBElg60AnSpRed, GBElg60AnSpTslIvySl, GBElg60AnSpTslWht, GBElg60AnSpTslRed, GBElg60AnSpTslMtSl, GBElg60AnSpTslGl</t>
        </is>
      </c>
      <c r="O162" s="22" t="inlineStr">
        <is>
          <t>https://www.bestbottles.com/product/elegant-design-60-ml-glass-bottle-lavender-vintage-style-bulb-sprayer-shiny-silver-collar-cap</t>
        </is>
      </c>
      <c r="P162" s="23" t="inlineStr">
        <is>
          <t>No</t>
        </is>
      </c>
      <c r="Q162" s="21" t="n"/>
      <c r="R162" s="21" t="n">
        <v>14</v>
      </c>
      <c r="S162" s="21" t="n">
        <v>5.6</v>
      </c>
      <c r="T162" s="21" t="n">
        <v>6.35</v>
      </c>
      <c r="U162" s="21" t="n"/>
      <c r="V162" s="21" t="n"/>
      <c r="W162" s="21" t="n"/>
      <c r="X162" s="21" t="n"/>
    </row>
    <row r="163" ht="15" customHeight="1" s="19">
      <c r="A163" s="24" t="n">
        <v>162</v>
      </c>
      <c r="B163" s="24" t="inlineStr">
        <is>
          <t>Elegant</t>
        </is>
      </c>
      <c r="C163" s="24" t="n">
        <v>60</v>
      </c>
      <c r="D163" s="24" t="inlineStr">
        <is>
          <t>Clear</t>
        </is>
      </c>
      <c r="E163" s="24" t="inlineStr">
        <is>
          <t>Vintage Bulb Sprayer with Tassel</t>
        </is>
      </c>
      <c r="F163" s="24" t="inlineStr">
        <is>
          <t>18-415</t>
        </is>
      </c>
      <c r="G163" s="24" t="inlineStr">
        <is>
          <t>60 ml Clear Elegant Vintage Bulb Spray Bottle with Tassel</t>
        </is>
      </c>
      <c r="H163" s="24" t="inlineStr">
        <is>
          <t>Glass Bottle</t>
        </is>
      </c>
      <c r="I163" s="24" t="inlineStr">
        <is>
          <t>Elegant</t>
        </is>
      </c>
      <c r="J163" s="24" t="inlineStr">
        <is>
          <t>elegant-60ml-clear-18-415-antiquespray-tassel</t>
        </is>
      </c>
      <c r="K163" s="24" t="inlineStr">
        <is>
          <t>kh7edr7eh042b9nskhh9vf2bxx83kk20</t>
        </is>
      </c>
      <c r="L163" s="24" t="inlineStr">
        <is>
          <t>GB-ELG-CLR-60ML-AST-LVN</t>
        </is>
      </c>
      <c r="M163" s="24" t="inlineStr">
        <is>
          <t>GBElg60AnSpTslLvn</t>
        </is>
      </c>
      <c r="N163" s="24" t="inlineStr">
        <is>
          <t>GBElg60AnSpTslLvn, GBElg60AnSpTslIvyGl, GBElg60AnSpTslPnk</t>
        </is>
      </c>
      <c r="O163" s="25" t="inlineStr">
        <is>
          <t>https://www.bestbottles.com/product/elegant-design-60-ml-glass-bottle-lavender-vintage-style-sprayer-with-tassel-shiny-silver-collar</t>
        </is>
      </c>
      <c r="P163" s="23" t="inlineStr">
        <is>
          <t>No</t>
        </is>
      </c>
      <c r="Q163" s="24" t="n"/>
      <c r="R163" s="24" t="n">
        <v>4</v>
      </c>
      <c r="S163" s="24" t="n">
        <v>6.35</v>
      </c>
      <c r="T163" s="24" t="n">
        <v>6.35</v>
      </c>
      <c r="U163" s="24" t="n"/>
      <c r="V163" s="24" t="n"/>
      <c r="W163" s="24" t="n"/>
      <c r="X163" s="24" t="n"/>
    </row>
    <row r="164" ht="15" customHeight="1" s="19">
      <c r="A164" s="21" t="n">
        <v>163</v>
      </c>
      <c r="B164" s="21" t="inlineStr">
        <is>
          <t>Elegant</t>
        </is>
      </c>
      <c r="C164" s="21" t="n">
        <v>60</v>
      </c>
      <c r="D164" s="21" t="inlineStr">
        <is>
          <t>Frosted</t>
        </is>
      </c>
      <c r="E164" s="21" t="inlineStr">
        <is>
          <t>Dropper</t>
        </is>
      </c>
      <c r="F164" s="21" t="inlineStr">
        <is>
          <t>18-415</t>
        </is>
      </c>
      <c r="G164" s="21" t="inlineStr">
        <is>
          <t>60 ml Frosted Elegant Dropper Bottle</t>
        </is>
      </c>
      <c r="H164" s="21" t="inlineStr">
        <is>
          <t>Glass Bottle</t>
        </is>
      </c>
      <c r="I164" s="21" t="inlineStr">
        <is>
          <t>Elegant</t>
        </is>
      </c>
      <c r="J164" s="21" t="inlineStr">
        <is>
          <t>elegant-60ml-frosted-18-415-dropper</t>
        </is>
      </c>
      <c r="K164" s="21" t="inlineStr">
        <is>
          <t>kh7er03hsh3k8fz2kar52yp62d83j9kt</t>
        </is>
      </c>
      <c r="L164" s="21" t="n"/>
      <c r="M164" s="21" t="n"/>
      <c r="N164" s="21" t="n"/>
      <c r="O164" s="21" t="n"/>
      <c r="P164" s="23" t="inlineStr">
        <is>
          <t>No</t>
        </is>
      </c>
      <c r="Q164" s="21" t="n"/>
      <c r="R164" s="21" t="n">
        <v>3</v>
      </c>
      <c r="S164" s="21" t="n">
        <v>2.4</v>
      </c>
      <c r="T164" s="21" t="n">
        <v>2.4</v>
      </c>
      <c r="U164" s="21" t="n"/>
      <c r="V164" s="21" t="n"/>
      <c r="W164" s="21" t="n"/>
      <c r="X164" s="21" t="n"/>
    </row>
    <row r="165" ht="15" customHeight="1" s="19">
      <c r="A165" s="24" t="n">
        <v>164</v>
      </c>
      <c r="B165" s="24" t="inlineStr">
        <is>
          <t>Elegant</t>
        </is>
      </c>
      <c r="C165" s="24" t="n">
        <v>60</v>
      </c>
      <c r="D165" s="24" t="inlineStr">
        <is>
          <t>Frosted</t>
        </is>
      </c>
      <c r="E165" s="24" t="inlineStr">
        <is>
          <t>Lotion Pump</t>
        </is>
      </c>
      <c r="F165" s="24" t="inlineStr">
        <is>
          <t>18-415</t>
        </is>
      </c>
      <c r="G165" s="24" t="inlineStr">
        <is>
          <t>60 ml Frosted Elegant Lotion Pump Bottle</t>
        </is>
      </c>
      <c r="H165" s="24" t="inlineStr">
        <is>
          <t>Glass Bottle</t>
        </is>
      </c>
      <c r="I165" s="24" t="inlineStr">
        <is>
          <t>Elegant</t>
        </is>
      </c>
      <c r="J165" s="24" t="inlineStr">
        <is>
          <t>elegant-60ml-frosted-18-415-lotionpump</t>
        </is>
      </c>
      <c r="K165" s="24" t="inlineStr">
        <is>
          <t>kh7dcrfq3bv9a3t31m7v2sjzeh83k7mf</t>
        </is>
      </c>
      <c r="L165" s="24" t="n"/>
      <c r="M165" s="24" t="n"/>
      <c r="N165" s="24" t="n"/>
      <c r="O165" s="24" t="n"/>
      <c r="P165" s="23" t="inlineStr">
        <is>
          <t>No</t>
        </is>
      </c>
      <c r="Q165" s="24" t="n"/>
      <c r="R165" s="24" t="n">
        <v>8</v>
      </c>
      <c r="S165" s="24" t="n">
        <v>2.9</v>
      </c>
      <c r="T165" s="24" t="n">
        <v>3.8</v>
      </c>
      <c r="U165" s="24" t="n"/>
      <c r="V165" s="24" t="n"/>
      <c r="W165" s="24" t="n"/>
      <c r="X165" s="24" t="n"/>
    </row>
    <row r="166" ht="15" customHeight="1" s="19">
      <c r="A166" s="21" t="n">
        <v>165</v>
      </c>
      <c r="B166" s="21" t="inlineStr">
        <is>
          <t>Elegant</t>
        </is>
      </c>
      <c r="C166" s="21" t="n">
        <v>60</v>
      </c>
      <c r="D166" s="21" t="inlineStr">
        <is>
          <t>Frosted</t>
        </is>
      </c>
      <c r="E166" s="21" t="inlineStr">
        <is>
          <t>Perfume Spray Pump</t>
        </is>
      </c>
      <c r="F166" s="21" t="inlineStr">
        <is>
          <t>18-415</t>
        </is>
      </c>
      <c r="G166" s="21" t="inlineStr">
        <is>
          <t>60 ml Frosted Elegant Bottle</t>
        </is>
      </c>
      <c r="H166" s="21" t="inlineStr">
        <is>
          <t>Glass Bottle</t>
        </is>
      </c>
      <c r="I166" s="21" t="inlineStr">
        <is>
          <t>Elegant</t>
        </is>
      </c>
      <c r="J166" s="21" t="inlineStr">
        <is>
          <t>elegant-60ml-frosted-18-415-perfumespray</t>
        </is>
      </c>
      <c r="K166" s="21" t="inlineStr">
        <is>
          <t>kh7a9erj4sq1k5cs507s6hv23d83jkf3</t>
        </is>
      </c>
      <c r="L166" s="21" t="inlineStr">
        <is>
          <t>GB-ELG-FRS-60ML-SPR-SBLK</t>
        </is>
      </c>
      <c r="M166" s="21" t="inlineStr">
        <is>
          <t>GBElgFrst60SpryShnBlk</t>
        </is>
      </c>
      <c r="N166" s="21" t="inlineStr">
        <is>
          <t>GBElgFrst60SpryShnBlk, GBElgFrst60SpryCu, GBElgFrst60SpryShnGl, GBElgFrst60SpryMtSl, GBElgFrst60SpryShnSl, GBElgFrst60SpryMtGl</t>
        </is>
      </c>
      <c r="O166" s="22" t="inlineStr">
        <is>
          <t>https://www.bestbottles.com/product/elegant-design-60-ml-frosted-glass-bottle-shiny-black-spray-pump-and-cap</t>
        </is>
      </c>
      <c r="P166" s="23" t="inlineStr">
        <is>
          <t>No</t>
        </is>
      </c>
      <c r="Q166" s="21" t="n"/>
      <c r="R166" s="21" t="n">
        <v>6</v>
      </c>
      <c r="S166" s="21" t="n">
        <v>3.25</v>
      </c>
      <c r="T166" s="21" t="n">
        <v>3.25</v>
      </c>
      <c r="U166" s="21" t="n"/>
      <c r="V166" s="21" t="n"/>
      <c r="W166" s="21" t="n"/>
      <c r="X166" s="21" t="n"/>
    </row>
    <row r="167" ht="15" customHeight="1" s="19">
      <c r="A167" s="24" t="n">
        <v>166</v>
      </c>
      <c r="B167" s="24" t="inlineStr">
        <is>
          <t>Elegant</t>
        </is>
      </c>
      <c r="C167" s="24" t="n">
        <v>60</v>
      </c>
      <c r="D167" s="24" t="inlineStr">
        <is>
          <t>Frosted</t>
        </is>
      </c>
      <c r="E167" s="24" t="inlineStr">
        <is>
          <t>Reducer</t>
        </is>
      </c>
      <c r="F167" s="24" t="inlineStr">
        <is>
          <t>18-415</t>
        </is>
      </c>
      <c r="G167" s="24" t="inlineStr">
        <is>
          <t>60 ml Frosted Elegant Reducer Bottle</t>
        </is>
      </c>
      <c r="H167" s="24" t="inlineStr">
        <is>
          <t>Glass Bottle</t>
        </is>
      </c>
      <c r="I167" s="24" t="inlineStr">
        <is>
          <t>Elegant</t>
        </is>
      </c>
      <c r="J167" s="24" t="inlineStr">
        <is>
          <t>elegant-60ml-frosted-18-415-reducer</t>
        </is>
      </c>
      <c r="K167" s="24" t="inlineStr">
        <is>
          <t>kh7frxmvvwe1ejmantz6pjncpd83ksq0</t>
        </is>
      </c>
      <c r="L167" s="24" t="n"/>
      <c r="M167" s="24" t="n"/>
      <c r="N167" s="24" t="n"/>
      <c r="O167" s="24" t="n"/>
      <c r="P167" s="23" t="inlineStr">
        <is>
          <t>No</t>
        </is>
      </c>
      <c r="Q167" s="24" t="n"/>
      <c r="R167" s="24" t="n">
        <v>12</v>
      </c>
      <c r="S167" s="24" t="n">
        <v>2.22</v>
      </c>
      <c r="T167" s="24" t="n">
        <v>2.5</v>
      </c>
      <c r="U167" s="24" t="n"/>
      <c r="V167" s="24" t="n"/>
      <c r="W167" s="24" t="n"/>
      <c r="X167" s="24" t="n"/>
    </row>
    <row r="168" ht="15" customHeight="1" s="19">
      <c r="A168" s="21" t="n">
        <v>167</v>
      </c>
      <c r="B168" s="21" t="inlineStr">
        <is>
          <t>Elegant</t>
        </is>
      </c>
      <c r="C168" s="21" t="n">
        <v>60</v>
      </c>
      <c r="D168" s="21" t="inlineStr">
        <is>
          <t>Frosted</t>
        </is>
      </c>
      <c r="E168" s="21" t="inlineStr">
        <is>
          <t>Vintage Bulb Sprayer</t>
        </is>
      </c>
      <c r="F168" s="21" t="inlineStr">
        <is>
          <t>18-415</t>
        </is>
      </c>
      <c r="G168" s="21" t="inlineStr">
        <is>
          <t>60 ml Frosted Elegant Vintage Bulb Spray Bottle</t>
        </is>
      </c>
      <c r="H168" s="21" t="inlineStr">
        <is>
          <t>Glass Bottle</t>
        </is>
      </c>
      <c r="I168" s="21" t="inlineStr">
        <is>
          <t>Elegant</t>
        </is>
      </c>
      <c r="J168" s="21" t="inlineStr">
        <is>
          <t>elegant-60ml-frosted-18-415-antiquespray</t>
        </is>
      </c>
      <c r="K168" s="21" t="inlineStr">
        <is>
          <t>kh7dy0ta9wvpbnkc0ha2t7scex83j4v8</t>
        </is>
      </c>
      <c r="L168" s="21" t="inlineStr">
        <is>
          <t>GB-ELG-FRS-60ML-ASP-GLD</t>
        </is>
      </c>
      <c r="M168" s="21" t="inlineStr">
        <is>
          <t>GBElgFrst60AnSpGl</t>
        </is>
      </c>
      <c r="N168" s="21" t="inlineStr">
        <is>
          <t>GBElgFrst60AnSpGl, GBElgFrst60AnSpIvyGl, GBElgFrst60AnSpIvySl, GBElgFrst60AnSpLvn</t>
        </is>
      </c>
      <c r="O168" s="22" t="inlineStr">
        <is>
          <t>https://www.bestbottles.com/product/elegant-design-60-ml-frosted-glass-bottle-gold-vintage-style-sprayer-shiny-gold-collar-cap</t>
        </is>
      </c>
      <c r="P168" s="23" t="inlineStr">
        <is>
          <t>No</t>
        </is>
      </c>
      <c r="Q168" s="21" t="n"/>
      <c r="R168" s="21" t="n">
        <v>9</v>
      </c>
      <c r="S168" s="21" t="n">
        <v>6.1</v>
      </c>
      <c r="T168" s="21" t="n">
        <v>6.1</v>
      </c>
      <c r="U168" s="21" t="n"/>
      <c r="V168" s="21" t="n"/>
      <c r="W168" s="21" t="n"/>
      <c r="X168" s="21" t="n"/>
    </row>
    <row r="169" ht="15" customHeight="1" s="19">
      <c r="A169" s="24" t="n">
        <v>168</v>
      </c>
      <c r="B169" s="24" t="inlineStr">
        <is>
          <t>Elegant</t>
        </is>
      </c>
      <c r="C169" s="24" t="n">
        <v>60</v>
      </c>
      <c r="D169" s="24" t="inlineStr">
        <is>
          <t>Frosted</t>
        </is>
      </c>
      <c r="E169" s="24" t="inlineStr">
        <is>
          <t>Vintage Bulb Sprayer with Tassel</t>
        </is>
      </c>
      <c r="F169" s="24" t="inlineStr">
        <is>
          <t>18-415</t>
        </is>
      </c>
      <c r="G169" s="24" t="inlineStr">
        <is>
          <t>60 ml Frosted Elegant Vintage Bulb Spray Bottle with Tassel</t>
        </is>
      </c>
      <c r="H169" s="24" t="inlineStr">
        <is>
          <t>Glass Bottle</t>
        </is>
      </c>
      <c r="I169" s="24" t="inlineStr">
        <is>
          <t>Elegant</t>
        </is>
      </c>
      <c r="J169" s="24" t="inlineStr">
        <is>
          <t>elegant-60ml-frosted-18-415-antiquespray-tassel</t>
        </is>
      </c>
      <c r="K169" s="24" t="inlineStr">
        <is>
          <t>kh7cmxf3pm5tpdhgmx8tk0qeyx83jvja</t>
        </is>
      </c>
      <c r="L169" s="24" t="n"/>
      <c r="M169" s="24" t="n"/>
      <c r="N169" s="24" t="n"/>
      <c r="O169" s="24" t="n"/>
      <c r="P169" s="23" t="inlineStr">
        <is>
          <t>No</t>
        </is>
      </c>
      <c r="Q169" s="24" t="n"/>
      <c r="R169" s="24" t="n">
        <v>9</v>
      </c>
      <c r="S169" s="24" t="n">
        <v>6.85</v>
      </c>
      <c r="T169" s="24" t="n">
        <v>6.85</v>
      </c>
      <c r="U169" s="24" t="n"/>
      <c r="V169" s="24" t="n"/>
      <c r="W169" s="24" t="n"/>
      <c r="X169" s="24" t="n"/>
    </row>
    <row r="170" ht="15" customHeight="1" s="19">
      <c r="A170" s="21" t="n">
        <v>169</v>
      </c>
      <c r="B170" s="21" t="inlineStr">
        <is>
          <t>Elegant</t>
        </is>
      </c>
      <c r="C170" s="21" t="n">
        <v>100</v>
      </c>
      <c r="D170" s="21" t="inlineStr">
        <is>
          <t>Clear</t>
        </is>
      </c>
      <c r="E170" s="21" t="inlineStr">
        <is>
          <t>Lotion Pump</t>
        </is>
      </c>
      <c r="F170" s="21" t="inlineStr">
        <is>
          <t>18-415</t>
        </is>
      </c>
      <c r="G170" s="21" t="inlineStr">
        <is>
          <t>100 ml Clear Elegant Lotion Pump Bottle</t>
        </is>
      </c>
      <c r="H170" s="21" t="inlineStr">
        <is>
          <t>Glass Bottle</t>
        </is>
      </c>
      <c r="I170" s="21" t="inlineStr">
        <is>
          <t>Elegant</t>
        </is>
      </c>
      <c r="J170" s="21" t="inlineStr">
        <is>
          <t>elegant-100ml-clear-18-415-lotionpump</t>
        </is>
      </c>
      <c r="K170" s="21" t="inlineStr">
        <is>
          <t>kh719ffwytgk1ktmw7g8bttht183jz6f</t>
        </is>
      </c>
      <c r="L170" s="21" t="inlineStr">
        <is>
          <t>LB-ELG-CLR-100ML-LPM-COCP</t>
        </is>
      </c>
      <c r="M170" s="21" t="inlineStr">
        <is>
          <t>LBElg100LtnClOvrCap</t>
        </is>
      </c>
      <c r="N170" s="21" t="inlineStr">
        <is>
          <t>LBElg100LtnClOvrCap</t>
        </is>
      </c>
      <c r="O170" s="22" t="inlineStr">
        <is>
          <t>https://www.bestbottles.com/product/elegant-design-105-ml-glass-bottle-clear-over-the-cap-lotion-pump-matte-silver-collar-cap</t>
        </is>
      </c>
      <c r="P170" s="23" t="inlineStr">
        <is>
          <t>No</t>
        </is>
      </c>
      <c r="Q170" s="21" t="n"/>
      <c r="R170" s="21" t="n">
        <v>8</v>
      </c>
      <c r="S170" s="21" t="n">
        <v>3.3</v>
      </c>
      <c r="T170" s="21" t="n">
        <v>3.3</v>
      </c>
      <c r="U170" s="21" t="n"/>
      <c r="V170" s="21" t="n"/>
      <c r="W170" s="21" t="n"/>
      <c r="X170" s="21" t="n"/>
    </row>
    <row r="171" ht="15" customHeight="1" s="19">
      <c r="A171" s="24" t="n">
        <v>170</v>
      </c>
      <c r="B171" s="24" t="inlineStr">
        <is>
          <t>Elegant</t>
        </is>
      </c>
      <c r="C171" s="24" t="n">
        <v>100</v>
      </c>
      <c r="D171" s="24" t="inlineStr">
        <is>
          <t>Clear</t>
        </is>
      </c>
      <c r="E171" s="24" t="inlineStr">
        <is>
          <t>Perfume Spray Pump</t>
        </is>
      </c>
      <c r="F171" s="24" t="inlineStr">
        <is>
          <t>18-415</t>
        </is>
      </c>
      <c r="G171" s="24" t="inlineStr">
        <is>
          <t>100 ml Clear Elegant Bottle</t>
        </is>
      </c>
      <c r="H171" s="24" t="inlineStr">
        <is>
          <t>Glass Bottle</t>
        </is>
      </c>
      <c r="I171" s="24" t="inlineStr">
        <is>
          <t>Elegant</t>
        </is>
      </c>
      <c r="J171" s="24" t="inlineStr">
        <is>
          <t>elegant-100ml-clear-18-415-perfumespray</t>
        </is>
      </c>
      <c r="K171" s="24" t="inlineStr">
        <is>
          <t>kh7bgeq5mzsmpph73ragcvcjyd83kptf</t>
        </is>
      </c>
      <c r="L171" s="24" t="inlineStr">
        <is>
          <t>GB-ELG-CLR-100ML-SPR-CPR</t>
        </is>
      </c>
      <c r="M171" s="24" t="inlineStr">
        <is>
          <t>GBElg100SpryCu</t>
        </is>
      </c>
      <c r="N171" s="24" t="inlineStr">
        <is>
          <t>GBElg100SpryCu</t>
        </is>
      </c>
      <c r="O171" s="25" t="inlineStr">
        <is>
          <t>https://www.bestbottles.com/product/elegant-design-105-ml-glass-bottle-matte-copper-spray-and-cap</t>
        </is>
      </c>
      <c r="P171" s="23" t="inlineStr">
        <is>
          <t>No</t>
        </is>
      </c>
      <c r="Q171" s="24" t="n"/>
      <c r="R171" s="24" t="n">
        <v>6</v>
      </c>
      <c r="S171" s="24" t="n">
        <v>3.3</v>
      </c>
      <c r="T171" s="24" t="n">
        <v>3.3</v>
      </c>
      <c r="U171" s="24" t="n"/>
      <c r="V171" s="24" t="n"/>
      <c r="W171" s="24" t="n"/>
      <c r="X171" s="24" t="n"/>
    </row>
    <row r="172" ht="15" customHeight="1" s="19">
      <c r="A172" s="21" t="n">
        <v>171</v>
      </c>
      <c r="B172" s="21" t="inlineStr">
        <is>
          <t>Elegant</t>
        </is>
      </c>
      <c r="C172" s="21" t="n">
        <v>100</v>
      </c>
      <c r="D172" s="21" t="inlineStr">
        <is>
          <t>Clear</t>
        </is>
      </c>
      <c r="E172" s="21" t="inlineStr">
        <is>
          <t>Reducer</t>
        </is>
      </c>
      <c r="F172" s="21" t="inlineStr">
        <is>
          <t>18-415</t>
        </is>
      </c>
      <c r="G172" s="21" t="inlineStr">
        <is>
          <t>100 ml Clear Elegant Reducer Bottle</t>
        </is>
      </c>
      <c r="H172" s="21" t="inlineStr">
        <is>
          <t>Glass Bottle</t>
        </is>
      </c>
      <c r="I172" s="21" t="inlineStr">
        <is>
          <t>Elegant</t>
        </is>
      </c>
      <c r="J172" s="21" t="inlineStr">
        <is>
          <t>elegant-100ml-clear-18-415-reducer</t>
        </is>
      </c>
      <c r="K172" s="21" t="inlineStr">
        <is>
          <t>kh7c7pt8ea7cwk5gckyddcq1cd83jkwq</t>
        </is>
      </c>
      <c r="L172" s="21" t="inlineStr">
        <is>
          <t>GB-ELG-CLR-100ML-RDC-MSLV</t>
        </is>
      </c>
      <c r="M172" s="21" t="inlineStr">
        <is>
          <t>GBElg100RdcrMtSl</t>
        </is>
      </c>
      <c r="N172" s="21" t="inlineStr">
        <is>
          <t>GBElg100RdcrMtSl, GBElg100RdcrShnSl, GBElg100RdcrIvyLthr, GBElg100RdcrPnkLthr, GBElg100RdcrShnGl, GBElg100RdcrShnBlkTall, GBElg100RdcrShnBlk, GBElg100RdcrLBrwnLthr, GBElg100RdcrMtSlTall, GBElg100RdcrWht, GBElg100RdcrBrwnLthr</t>
        </is>
      </c>
      <c r="O172" s="22" t="inlineStr">
        <is>
          <t>https://www.bestbottles.com/product/elegant-design-105-ml-glass-bottle-reducer-silver-matte-cap</t>
        </is>
      </c>
      <c r="P172" s="23" t="inlineStr">
        <is>
          <t>No</t>
        </is>
      </c>
      <c r="Q172" s="21" t="n"/>
      <c r="R172" s="21" t="n">
        <v>12</v>
      </c>
      <c r="S172" s="21" t="n">
        <v>2.27</v>
      </c>
      <c r="T172" s="21" t="n">
        <v>2.55</v>
      </c>
      <c r="U172" s="21" t="n"/>
      <c r="V172" s="21" t="n"/>
      <c r="W172" s="21" t="n"/>
      <c r="X172" s="21" t="n"/>
    </row>
    <row r="173" ht="15" customHeight="1" s="19">
      <c r="A173" s="24" t="n">
        <v>172</v>
      </c>
      <c r="B173" s="24" t="inlineStr">
        <is>
          <t>Elegant</t>
        </is>
      </c>
      <c r="C173" s="24" t="n">
        <v>100</v>
      </c>
      <c r="D173" s="24" t="inlineStr">
        <is>
          <t>Clear</t>
        </is>
      </c>
      <c r="E173" s="24" t="inlineStr">
        <is>
          <t>Vintage Bulb Sprayer</t>
        </is>
      </c>
      <c r="F173" s="24" t="inlineStr">
        <is>
          <t>18-415</t>
        </is>
      </c>
      <c r="G173" s="24" t="inlineStr">
        <is>
          <t>100 ml Clear Elegant Vintage Bulb Spray Bottle</t>
        </is>
      </c>
      <c r="H173" s="24" t="inlineStr">
        <is>
          <t>Glass Bottle</t>
        </is>
      </c>
      <c r="I173" s="24" t="inlineStr">
        <is>
          <t>Elegant</t>
        </is>
      </c>
      <c r="J173" s="24" t="inlineStr">
        <is>
          <t>elegant-100ml-clear-18-415-antiquespray</t>
        </is>
      </c>
      <c r="K173" s="24" t="inlineStr">
        <is>
          <t>kh7dzs4zhcychajztqmxfw3snx83j6h1</t>
        </is>
      </c>
      <c r="L173" s="24" t="n"/>
      <c r="M173" s="24" t="n"/>
      <c r="N173" s="24" t="n"/>
      <c r="O173" s="24" t="n"/>
      <c r="P173" s="23" t="inlineStr">
        <is>
          <t>No</t>
        </is>
      </c>
      <c r="Q173" s="24" t="n"/>
      <c r="R173" s="24" t="n">
        <v>9</v>
      </c>
      <c r="S173" s="24" t="n">
        <v>6.15</v>
      </c>
      <c r="T173" s="24" t="n">
        <v>6.15</v>
      </c>
      <c r="U173" s="24" t="n"/>
      <c r="V173" s="24" t="n"/>
      <c r="W173" s="24" t="n"/>
      <c r="X173" s="24" t="n"/>
    </row>
    <row r="174" ht="15" customHeight="1" s="19">
      <c r="A174" s="21" t="n">
        <v>173</v>
      </c>
      <c r="B174" s="21" t="inlineStr">
        <is>
          <t>Elegant</t>
        </is>
      </c>
      <c r="C174" s="21" t="n">
        <v>100</v>
      </c>
      <c r="D174" s="21" t="inlineStr">
        <is>
          <t>Clear</t>
        </is>
      </c>
      <c r="E174" s="21" t="inlineStr">
        <is>
          <t>Vintage Bulb Sprayer with Tassel</t>
        </is>
      </c>
      <c r="F174" s="21" t="inlineStr">
        <is>
          <t>18-415</t>
        </is>
      </c>
      <c r="G174" s="21" t="inlineStr">
        <is>
          <t>100 ml Clear Elegant Vintage Bulb Spray Bottle with Tassel</t>
        </is>
      </c>
      <c r="H174" s="21" t="inlineStr">
        <is>
          <t>Glass Bottle</t>
        </is>
      </c>
      <c r="I174" s="21" t="inlineStr">
        <is>
          <t>Elegant</t>
        </is>
      </c>
      <c r="J174" s="21" t="inlineStr">
        <is>
          <t>elegant-100ml-clear-18-415-antiquespray-tassel</t>
        </is>
      </c>
      <c r="K174" s="21" t="inlineStr">
        <is>
          <t>kh78kyszn7nkt3bw7xh16vrm3183kqx7</t>
        </is>
      </c>
      <c r="L174" s="21" t="n"/>
      <c r="M174" s="21" t="n"/>
      <c r="N174" s="21" t="n"/>
      <c r="O174" s="21" t="n"/>
      <c r="P174" s="23" t="inlineStr">
        <is>
          <t>No</t>
        </is>
      </c>
      <c r="Q174" s="21" t="n"/>
      <c r="R174" s="21" t="n">
        <v>9</v>
      </c>
      <c r="S174" s="21" t="n">
        <v>6.9</v>
      </c>
      <c r="T174" s="21" t="n">
        <v>6.9</v>
      </c>
      <c r="U174" s="21" t="n"/>
      <c r="V174" s="21" t="n"/>
      <c r="W174" s="21" t="n"/>
      <c r="X174" s="21" t="n"/>
    </row>
    <row r="175" ht="15" customHeight="1" s="19">
      <c r="A175" s="24" t="n">
        <v>174</v>
      </c>
      <c r="B175" s="24" t="inlineStr">
        <is>
          <t>Elegant</t>
        </is>
      </c>
      <c r="C175" s="24" t="n">
        <v>100</v>
      </c>
      <c r="D175" s="24" t="inlineStr">
        <is>
          <t>Frosted</t>
        </is>
      </c>
      <c r="E175" s="24" t="inlineStr">
        <is>
          <t>Lotion Pump</t>
        </is>
      </c>
      <c r="F175" s="24" t="inlineStr">
        <is>
          <t>18-415</t>
        </is>
      </c>
      <c r="G175" s="24" t="inlineStr">
        <is>
          <t>100 ml Frosted Elegant Lotion Pump Bottle</t>
        </is>
      </c>
      <c r="H175" s="24" t="inlineStr">
        <is>
          <t>Glass Bottle</t>
        </is>
      </c>
      <c r="I175" s="24" t="inlineStr">
        <is>
          <t>Elegant</t>
        </is>
      </c>
      <c r="J175" s="24" t="inlineStr">
        <is>
          <t>elegant-100ml-frosted-18-415-lotionpump</t>
        </is>
      </c>
      <c r="K175" s="24" t="inlineStr">
        <is>
          <t>kh77570xf8qd9tkcbf1npg8d8983jyed</t>
        </is>
      </c>
      <c r="L175" s="24" t="inlineStr">
        <is>
          <t>LB-ELG-FRS-100ML-LPM-MGLD</t>
        </is>
      </c>
      <c r="M175" s="24" t="inlineStr">
        <is>
          <t>LBElgFrst100LtnMtGl</t>
        </is>
      </c>
      <c r="N175" s="24" t="inlineStr">
        <is>
          <t>LBElgFrst100LtnMtGl, LBElgFrst100LtnShnGl, LBElgFrst100LtnShnBlk, LBElgFrst100LtnMtSl, LBElgFrst100LtnShnSl, LBElgFrst100WhtClOvrCp, LBElgFrst100LtnCu, LBElgFrst100LtnClOvrCap</t>
        </is>
      </c>
      <c r="O175" s="25" t="inlineStr">
        <is>
          <t>https://www.bestbottles.com/product/elegant-design-105-ml-frosted-glass-bottle-matte-gold-lotion-pump-and-cap</t>
        </is>
      </c>
      <c r="P175" s="23" t="inlineStr">
        <is>
          <t>No</t>
        </is>
      </c>
      <c r="Q175" s="24" t="n"/>
      <c r="R175" s="24" t="n">
        <v>8</v>
      </c>
      <c r="S175" s="24" t="n">
        <v>3.8</v>
      </c>
      <c r="T175" s="24" t="n">
        <v>3.8</v>
      </c>
      <c r="U175" s="24" t="n"/>
      <c r="V175" s="24" t="n"/>
      <c r="W175" s="24" t="n"/>
      <c r="X175" s="24" t="n"/>
    </row>
    <row r="176" ht="15" customHeight="1" s="19">
      <c r="A176" s="21" t="n">
        <v>175</v>
      </c>
      <c r="B176" s="21" t="inlineStr">
        <is>
          <t>Elegant</t>
        </is>
      </c>
      <c r="C176" s="21" t="n">
        <v>100</v>
      </c>
      <c r="D176" s="21" t="inlineStr">
        <is>
          <t>Frosted</t>
        </is>
      </c>
      <c r="E176" s="21" t="inlineStr">
        <is>
          <t>Perfume Spray Pump</t>
        </is>
      </c>
      <c r="F176" s="21" t="inlineStr">
        <is>
          <t>18-415</t>
        </is>
      </c>
      <c r="G176" s="21" t="inlineStr">
        <is>
          <t>100 ml Frosted Elegant Bottle</t>
        </is>
      </c>
      <c r="H176" s="21" t="inlineStr">
        <is>
          <t>Glass Bottle</t>
        </is>
      </c>
      <c r="I176" s="21" t="inlineStr">
        <is>
          <t>Elegant</t>
        </is>
      </c>
      <c r="J176" s="21" t="inlineStr">
        <is>
          <t>elegant-100ml-frosted-18-415-perfumespray</t>
        </is>
      </c>
      <c r="K176" s="21" t="inlineStr">
        <is>
          <t>kh781frxx7kfftdfb3aa1yabbs83k6xg</t>
        </is>
      </c>
      <c r="L176" s="21" t="inlineStr">
        <is>
          <t>GB-ELG-FRS-100ML-SPR-CPR</t>
        </is>
      </c>
      <c r="M176" s="21" t="inlineStr">
        <is>
          <t>GBElgFrst100SpryCu</t>
        </is>
      </c>
      <c r="N176" s="21" t="inlineStr">
        <is>
          <t>GBElgFrst100SpryCu</t>
        </is>
      </c>
      <c r="O176" s="22" t="inlineStr">
        <is>
          <t>https://www.bestbottles.com/product/elegant-design-105-ml-frosted-glass-bottle-matte-copper-spray-and-cap</t>
        </is>
      </c>
      <c r="P176" s="23" t="inlineStr">
        <is>
          <t>No</t>
        </is>
      </c>
      <c r="Q176" s="21" t="n"/>
      <c r="R176" s="21" t="n">
        <v>6</v>
      </c>
      <c r="S176" s="21" t="n">
        <v>3.8</v>
      </c>
      <c r="T176" s="21" t="n">
        <v>3.8</v>
      </c>
      <c r="U176" s="21" t="n"/>
      <c r="V176" s="21" t="n"/>
      <c r="W176" s="21" t="n"/>
      <c r="X176" s="21" t="n"/>
    </row>
    <row r="177" ht="15" customHeight="1" s="19">
      <c r="A177" s="24" t="n">
        <v>176</v>
      </c>
      <c r="B177" s="24" t="inlineStr">
        <is>
          <t>Elegant</t>
        </is>
      </c>
      <c r="C177" s="24" t="n">
        <v>100</v>
      </c>
      <c r="D177" s="24" t="inlineStr">
        <is>
          <t>Frosted</t>
        </is>
      </c>
      <c r="E177" s="24" t="inlineStr">
        <is>
          <t>Reducer</t>
        </is>
      </c>
      <c r="F177" s="24" t="inlineStr">
        <is>
          <t>18-415</t>
        </is>
      </c>
      <c r="G177" s="24" t="inlineStr">
        <is>
          <t>100 ml Frosted Elegant Reducer Bottle</t>
        </is>
      </c>
      <c r="H177" s="24" t="inlineStr">
        <is>
          <t>Glass Bottle</t>
        </is>
      </c>
      <c r="I177" s="24" t="inlineStr">
        <is>
          <t>Elegant</t>
        </is>
      </c>
      <c r="J177" s="24" t="inlineStr">
        <is>
          <t>elegant-100ml-frosted-18-415-reducer</t>
        </is>
      </c>
      <c r="K177" s="24" t="inlineStr">
        <is>
          <t>kh7476mtetwmxn1rdg2s30zegn83jtx4</t>
        </is>
      </c>
      <c r="L177" s="24" t="inlineStr">
        <is>
          <t>GB-ELG-FRS-100ML-RDC-SBLK</t>
        </is>
      </c>
      <c r="M177" s="24" t="inlineStr">
        <is>
          <t>GBElgFrst100RdcrShnBlk</t>
        </is>
      </c>
      <c r="N177" s="24" t="inlineStr">
        <is>
          <t>GBElgFrst100RdcrShnBlk, GBElgFrst100RdcrWht, GBElgFrst100RdcrIvyLthr, GBElgFrst100RdcrPnkLthr, GBElgFrst100RdcrShnGl, GBElgFrst100RdcrShnBlkTall, GBElgFrst100RdcrBrwnLthr, GBElgFrst100RdcrLBrwnLthr, GBElgFrst100RdcrShnSl, GBElgFrst100RdcrMtSlTall</t>
        </is>
      </c>
      <c r="O177" s="25" t="inlineStr">
        <is>
          <t>https://www.bestbottles.com/product/elegant-design-105-ml-frosted-glass-bottle-reducer-black-shiny-cap</t>
        </is>
      </c>
      <c r="P177" s="23" t="inlineStr">
        <is>
          <t>No</t>
        </is>
      </c>
      <c r="Q177" s="24" t="n"/>
      <c r="R177" s="24" t="n">
        <v>11</v>
      </c>
      <c r="S177" s="24" t="n">
        <v>2.77</v>
      </c>
      <c r="T177" s="24" t="n">
        <v>3.05</v>
      </c>
      <c r="U177" s="24" t="n"/>
      <c r="V177" s="24" t="n"/>
      <c r="W177" s="24" t="n"/>
      <c r="X177" s="24" t="n"/>
    </row>
    <row r="178" ht="15" customHeight="1" s="19">
      <c r="A178" s="21" t="n">
        <v>177</v>
      </c>
      <c r="B178" s="21" t="inlineStr">
        <is>
          <t>Elegant</t>
        </is>
      </c>
      <c r="C178" s="21" t="n">
        <v>100</v>
      </c>
      <c r="D178" s="21" t="inlineStr">
        <is>
          <t>Frosted</t>
        </is>
      </c>
      <c r="E178" s="21" t="inlineStr">
        <is>
          <t>Vintage Bulb Sprayer</t>
        </is>
      </c>
      <c r="F178" s="21" t="inlineStr">
        <is>
          <t>18-415</t>
        </is>
      </c>
      <c r="G178" s="21" t="inlineStr">
        <is>
          <t>100 ml Frosted Elegant Vintage Bulb Spray Bottle</t>
        </is>
      </c>
      <c r="H178" s="21" t="inlineStr">
        <is>
          <t>Glass Bottle</t>
        </is>
      </c>
      <c r="I178" s="21" t="inlineStr">
        <is>
          <t>Elegant</t>
        </is>
      </c>
      <c r="J178" s="21" t="inlineStr">
        <is>
          <t>elegant-100ml-frosted-18-415-antiquespray</t>
        </is>
      </c>
      <c r="K178" s="21" t="inlineStr">
        <is>
          <t>kh76h93138xe77frf48jre4qz983jaxq</t>
        </is>
      </c>
      <c r="L178" s="21" t="n"/>
      <c r="M178" s="21" t="n"/>
      <c r="N178" s="21" t="n"/>
      <c r="O178" s="21" t="n"/>
      <c r="P178" s="23" t="inlineStr">
        <is>
          <t>No</t>
        </is>
      </c>
      <c r="Q178" s="21" t="n"/>
      <c r="R178" s="21" t="n">
        <v>9</v>
      </c>
      <c r="S178" s="21" t="n">
        <v>6.65</v>
      </c>
      <c r="T178" s="21" t="n">
        <v>6.65</v>
      </c>
      <c r="U178" s="21" t="n"/>
      <c r="V178" s="21" t="n"/>
      <c r="W178" s="21" t="n"/>
      <c r="X178" s="21" t="n"/>
    </row>
    <row r="179" ht="15" customHeight="1" s="19">
      <c r="A179" s="24" t="n">
        <v>178</v>
      </c>
      <c r="B179" s="24" t="inlineStr">
        <is>
          <t>Elegant</t>
        </is>
      </c>
      <c r="C179" s="24" t="n">
        <v>100</v>
      </c>
      <c r="D179" s="24" t="inlineStr">
        <is>
          <t>Frosted</t>
        </is>
      </c>
      <c r="E179" s="24" t="inlineStr">
        <is>
          <t>Vintage Bulb Sprayer with Tassel</t>
        </is>
      </c>
      <c r="F179" s="24" t="inlineStr">
        <is>
          <t>18-415</t>
        </is>
      </c>
      <c r="G179" s="24" t="inlineStr">
        <is>
          <t>100 ml Frosted Elegant Vintage Bulb Spray Bottle with Tassel</t>
        </is>
      </c>
      <c r="H179" s="24" t="inlineStr">
        <is>
          <t>Glass Bottle</t>
        </is>
      </c>
      <c r="I179" s="24" t="inlineStr">
        <is>
          <t>Elegant</t>
        </is>
      </c>
      <c r="J179" s="24" t="inlineStr">
        <is>
          <t>elegant-100ml-frosted-18-415-antiquespray-tassel</t>
        </is>
      </c>
      <c r="K179" s="24" t="inlineStr">
        <is>
          <t>kh73550n4vvdmpfve30ntpbnkh83k43c</t>
        </is>
      </c>
      <c r="L179" s="24" t="n"/>
      <c r="M179" s="24" t="n"/>
      <c r="N179" s="24" t="n"/>
      <c r="O179" s="24" t="n"/>
      <c r="P179" s="23" t="inlineStr">
        <is>
          <t>No</t>
        </is>
      </c>
      <c r="Q179" s="24" t="n"/>
      <c r="R179" s="24" t="n">
        <v>9</v>
      </c>
      <c r="S179" s="24" t="n">
        <v>7.4</v>
      </c>
      <c r="T179" s="24" t="n">
        <v>7.4</v>
      </c>
      <c r="U179" s="24" t="n"/>
      <c r="V179" s="24" t="n"/>
      <c r="W179" s="24" t="n"/>
      <c r="X179" s="24" t="n"/>
    </row>
    <row r="180" ht="15" customHeight="1" s="19">
      <c r="A180" s="21" t="n">
        <v>179</v>
      </c>
      <c r="B180" s="21" t="inlineStr">
        <is>
          <t>Empire</t>
        </is>
      </c>
      <c r="C180" s="21" t="n">
        <v>50</v>
      </c>
      <c r="D180" s="21" t="inlineStr">
        <is>
          <t>Clear</t>
        </is>
      </c>
      <c r="E180" s="21" t="inlineStr">
        <is>
          <t>Dropper</t>
        </is>
      </c>
      <c r="F180" s="21" t="inlineStr">
        <is>
          <t>18-415</t>
        </is>
      </c>
      <c r="G180" s="21" t="inlineStr">
        <is>
          <t>50 ml Clear Empire Dropper Bottle</t>
        </is>
      </c>
      <c r="H180" s="21" t="inlineStr">
        <is>
          <t>Glass Bottle</t>
        </is>
      </c>
      <c r="I180" s="21" t="inlineStr">
        <is>
          <t>Empire</t>
        </is>
      </c>
      <c r="J180" s="21" t="inlineStr">
        <is>
          <t>empire-50ml-clear-18-415-dropper</t>
        </is>
      </c>
      <c r="K180" s="21" t="inlineStr">
        <is>
          <t>kh766seyv22hwtvs6hn8cez91h83kk64</t>
        </is>
      </c>
      <c r="L180" s="21" t="inlineStr">
        <is>
          <t>GB-EMP-CLR-50ML-DRP-SLV</t>
        </is>
      </c>
      <c r="M180" s="21" t="inlineStr">
        <is>
          <t>GBEmp50DrpSl</t>
        </is>
      </c>
      <c r="N180" s="21" t="inlineStr">
        <is>
          <t>GBEmp50DrpSl, GBEmp50DrpGl, GBEmp50DrpCu</t>
        </is>
      </c>
      <c r="O180" s="22" t="inlineStr">
        <is>
          <t>https://www.bestbottles.com/product/empire-design-50-ml-glass-bottle-white-dropper-shiny-silver-collar-cap</t>
        </is>
      </c>
      <c r="P180" s="23" t="inlineStr">
        <is>
          <t>No</t>
        </is>
      </c>
      <c r="Q180" s="21" t="n"/>
      <c r="R180" s="21" t="n">
        <v>3</v>
      </c>
      <c r="S180" s="21" t="n">
        <v>2.45</v>
      </c>
      <c r="T180" s="21" t="n">
        <v>2.45</v>
      </c>
      <c r="U180" s="21" t="n"/>
      <c r="V180" s="21" t="n"/>
      <c r="W180" s="21" t="n"/>
      <c r="X180" s="21" t="n"/>
    </row>
    <row r="181" ht="15" customHeight="1" s="19">
      <c r="A181" s="24" t="n">
        <v>180</v>
      </c>
      <c r="B181" s="24" t="inlineStr">
        <is>
          <t>Empire</t>
        </is>
      </c>
      <c r="C181" s="24" t="n">
        <v>50</v>
      </c>
      <c r="D181" s="24" t="inlineStr">
        <is>
          <t>Clear</t>
        </is>
      </c>
      <c r="E181" s="24" t="inlineStr">
        <is>
          <t>Lotion Pump</t>
        </is>
      </c>
      <c r="F181" s="24" t="inlineStr">
        <is>
          <t>18-415</t>
        </is>
      </c>
      <c r="G181" s="24" t="inlineStr">
        <is>
          <t>50 ml Clear Empire Lotion Pump Bottle</t>
        </is>
      </c>
      <c r="H181" s="24" t="inlineStr">
        <is>
          <t>Glass Bottle</t>
        </is>
      </c>
      <c r="I181" s="24" t="inlineStr">
        <is>
          <t>Empire</t>
        </is>
      </c>
      <c r="J181" s="24" t="inlineStr">
        <is>
          <t>empire-50ml-clear-18-415-lotionpump</t>
        </is>
      </c>
      <c r="K181" s="24" t="inlineStr">
        <is>
          <t>kh7009cef09cyba419ba7zyrg583jjt3</t>
        </is>
      </c>
      <c r="L181" s="24" t="inlineStr">
        <is>
          <t>LB-EMP-CLR-50ML-LPM-MGLD</t>
        </is>
      </c>
      <c r="M181" s="24" t="inlineStr">
        <is>
          <t>LBEmp50LtnMtGl</t>
        </is>
      </c>
      <c r="N181" s="24" t="inlineStr">
        <is>
          <t>LBEmp50LtnMtGl, LBEmp50LtnShnGl, LBEmp50LtnShnBlk, LBEmp50LtnMtSl, LBEmp50LtnShnSl, LBEmp50WhtClOvrCp, LBEmp50LtnCu, LBEmp50LtnClOvrCap</t>
        </is>
      </c>
      <c r="O181" s="25" t="inlineStr">
        <is>
          <t>https://www.bestbottles.com/product/empire-design-50-ml-glass-bottle-matte-gold-lotion-pump-and-cap</t>
        </is>
      </c>
      <c r="P181" s="23" t="inlineStr">
        <is>
          <t>No</t>
        </is>
      </c>
      <c r="Q181" s="24" t="n"/>
      <c r="R181" s="24" t="n">
        <v>8</v>
      </c>
      <c r="S181" s="24" t="n">
        <v>3.3</v>
      </c>
      <c r="T181" s="24" t="n">
        <v>3.3</v>
      </c>
      <c r="U181" s="24" t="n"/>
      <c r="V181" s="24" t="n"/>
      <c r="W181" s="24" t="n"/>
      <c r="X181" s="24" t="n"/>
    </row>
    <row r="182" ht="15" customHeight="1" s="19">
      <c r="A182" s="21" t="n">
        <v>181</v>
      </c>
      <c r="B182" s="21" t="inlineStr">
        <is>
          <t>Empire</t>
        </is>
      </c>
      <c r="C182" s="21" t="n">
        <v>50</v>
      </c>
      <c r="D182" s="21" t="inlineStr">
        <is>
          <t>Clear</t>
        </is>
      </c>
      <c r="E182" s="21" t="inlineStr">
        <is>
          <t>Perfume Spray Pump</t>
        </is>
      </c>
      <c r="F182" s="21" t="inlineStr">
        <is>
          <t>18-415</t>
        </is>
      </c>
      <c r="G182" s="21" t="inlineStr">
        <is>
          <t>50 ml Clear Empire Bottle</t>
        </is>
      </c>
      <c r="H182" s="21" t="inlineStr">
        <is>
          <t>Glass Bottle</t>
        </is>
      </c>
      <c r="I182" s="21" t="inlineStr">
        <is>
          <t>Empire</t>
        </is>
      </c>
      <c r="J182" s="21" t="inlineStr">
        <is>
          <t>empire-50ml-clear-18-415-perfumespray</t>
        </is>
      </c>
      <c r="K182" s="21" t="inlineStr">
        <is>
          <t>kh76w5cv4bm0z2we7gznqqmzbn83jwz3</t>
        </is>
      </c>
      <c r="L182" s="21" t="inlineStr">
        <is>
          <t>GB-EMP-CLR-50ML-SPR-MSLV</t>
        </is>
      </c>
      <c r="M182" s="21" t="inlineStr">
        <is>
          <t>GBEmp50SpryMtSl</t>
        </is>
      </c>
      <c r="N182" s="21" t="inlineStr">
        <is>
          <t>GBEmp50SpryMtSl, GBEmp50SpryShnSl, GBEmp50SpryShnGl, GBEmp50SpryShnBlk, GBEmp50SpryMtGl, GBEmp50SpryCu</t>
        </is>
      </c>
      <c r="O182" s="22" t="inlineStr">
        <is>
          <t>https://www.bestbottles.com/product/empire-design-50-ml-glass-bottle-matte-silver-spray-pump-and-cap</t>
        </is>
      </c>
      <c r="P182" s="23" t="inlineStr">
        <is>
          <t>No</t>
        </is>
      </c>
      <c r="Q182" s="21" t="n"/>
      <c r="R182" s="21" t="n">
        <v>6</v>
      </c>
      <c r="S182" s="21" t="n">
        <v>3.3</v>
      </c>
      <c r="T182" s="21" t="n">
        <v>3.3</v>
      </c>
      <c r="U182" s="21" t="n"/>
      <c r="V182" s="21" t="n"/>
      <c r="W182" s="21" t="n"/>
      <c r="X182" s="21" t="n"/>
    </row>
    <row r="183" ht="15" customHeight="1" s="19">
      <c r="A183" s="24" t="n">
        <v>182</v>
      </c>
      <c r="B183" s="24" t="inlineStr">
        <is>
          <t>Empire</t>
        </is>
      </c>
      <c r="C183" s="24" t="n">
        <v>50</v>
      </c>
      <c r="D183" s="24" t="inlineStr">
        <is>
          <t>Clear</t>
        </is>
      </c>
      <c r="E183" s="24" t="inlineStr">
        <is>
          <t>Reducer</t>
        </is>
      </c>
      <c r="F183" s="24" t="inlineStr">
        <is>
          <t>18-415</t>
        </is>
      </c>
      <c r="G183" s="24" t="inlineStr">
        <is>
          <t>50 ml Clear Empire Reducer Bottle</t>
        </is>
      </c>
      <c r="H183" s="24" t="inlineStr">
        <is>
          <t>Glass Bottle</t>
        </is>
      </c>
      <c r="I183" s="24" t="inlineStr">
        <is>
          <t>Empire</t>
        </is>
      </c>
      <c r="J183" s="24" t="inlineStr">
        <is>
          <t>empire-50ml-clear-18-415-reducer</t>
        </is>
      </c>
      <c r="K183" s="24" t="inlineStr">
        <is>
          <t>kh76gm5dm8r80z2ydmfnry5n2983jawg</t>
        </is>
      </c>
      <c r="L183" s="24" t="inlineStr">
        <is>
          <t>GB-EMP-CLR-50ML-RDC-BKLT</t>
        </is>
      </c>
      <c r="M183" s="24" t="inlineStr">
        <is>
          <t>GBEmp50RdcrBlkLthr</t>
        </is>
      </c>
      <c r="N183" s="24" t="inlineStr">
        <is>
          <t>GBEmp50RdcrBlkLthr, GBEmp50RdcrShnSl, GBEmp50RdcrShnGl, GBEmp50RdcrShnBlk, GBEmp50RdcrIvyLthr, GBEmp50RdcrPnkLthr, GBEmp50RdcrShnBlkTall, GBEmp50RdcrBrwnLthr, GBEmp50RdcrLBrwnLthr, GBEmp50RdcrMtSlTall, GBEmp50RdcrMtSl, GBEmp50RdcrWht</t>
        </is>
      </c>
      <c r="O183" s="25" t="inlineStr">
        <is>
          <t>https://www.bestbottles.com/product/empire-design-50-ml-glass-bottle-reducer-black-faux-leather-cap</t>
        </is>
      </c>
      <c r="P183" s="23" t="inlineStr">
        <is>
          <t>No</t>
        </is>
      </c>
      <c r="Q183" s="24" t="n"/>
      <c r="R183" s="24" t="n">
        <v>12</v>
      </c>
      <c r="S183" s="24" t="n">
        <v>2.27</v>
      </c>
      <c r="T183" s="24" t="n">
        <v>2.55</v>
      </c>
      <c r="U183" s="24" t="n"/>
      <c r="V183" s="24" t="n"/>
      <c r="W183" s="24" t="n"/>
      <c r="X183" s="24" t="n"/>
    </row>
    <row r="184" ht="15" customHeight="1" s="19">
      <c r="A184" s="21" t="n">
        <v>183</v>
      </c>
      <c r="B184" s="21" t="inlineStr">
        <is>
          <t>Empire</t>
        </is>
      </c>
      <c r="C184" s="21" t="n">
        <v>50</v>
      </c>
      <c r="D184" s="21" t="inlineStr">
        <is>
          <t>Clear</t>
        </is>
      </c>
      <c r="E184" s="21" t="inlineStr">
        <is>
          <t>Vintage Bulb Sprayer</t>
        </is>
      </c>
      <c r="F184" s="21" t="inlineStr">
        <is>
          <t>18-415</t>
        </is>
      </c>
      <c r="G184" s="21" t="inlineStr">
        <is>
          <t>50 ml Clear Empire Vintage Bulb Spray Bottle</t>
        </is>
      </c>
      <c r="H184" s="21" t="inlineStr">
        <is>
          <t>Glass Bottle</t>
        </is>
      </c>
      <c r="I184" s="21" t="inlineStr">
        <is>
          <t>Empire</t>
        </is>
      </c>
      <c r="J184" s="21" t="inlineStr">
        <is>
          <t>empire-50ml-clear-18-415-antiquespray</t>
        </is>
      </c>
      <c r="K184" s="21" t="inlineStr">
        <is>
          <t>kh7201z268d3m1f9z20h89z5zn83k1km</t>
        </is>
      </c>
      <c r="L184" s="21" t="inlineStr">
        <is>
          <t>GB-EMP-CLR-50ML-ASP-BLK</t>
        </is>
      </c>
      <c r="M184" s="21" t="inlineStr">
        <is>
          <t>GBEmp50AnSpBlk</t>
        </is>
      </c>
      <c r="N184" s="21" t="inlineStr">
        <is>
          <t>GBEmp50AnSpBlk, GBEmp50AnSpGl, GBEmp50AnSpLvn, GBEmp50AnSpPnk, GBEmp50AnSpIvyGl, GBEmp50AnSpIvySl, GBEmp50AnSpRed, GBEmp50AnSpMtSl, GBEmp50AnSpWht</t>
        </is>
      </c>
      <c r="O184" s="22" t="inlineStr">
        <is>
          <t>https://www.bestbottles.com/product/empire-design-50-ml-glass-bottle-black-vintage-style-bulb-sprayer-shiny-silver-collar-cap</t>
        </is>
      </c>
      <c r="P184" s="23" t="inlineStr">
        <is>
          <t>No</t>
        </is>
      </c>
      <c r="Q184" s="21" t="n"/>
      <c r="R184" s="21" t="n">
        <v>9</v>
      </c>
      <c r="S184" s="21" t="n">
        <v>6.15</v>
      </c>
      <c r="T184" s="21" t="n">
        <v>6.15</v>
      </c>
      <c r="U184" s="21" t="n"/>
      <c r="V184" s="21" t="n"/>
      <c r="W184" s="21" t="n"/>
      <c r="X184" s="21" t="n"/>
    </row>
    <row r="185" ht="15" customHeight="1" s="19">
      <c r="A185" s="24" t="n">
        <v>184</v>
      </c>
      <c r="B185" s="24" t="inlineStr">
        <is>
          <t>Empire</t>
        </is>
      </c>
      <c r="C185" s="24" t="n">
        <v>50</v>
      </c>
      <c r="D185" s="24" t="inlineStr">
        <is>
          <t>Clear</t>
        </is>
      </c>
      <c r="E185" s="24" t="inlineStr">
        <is>
          <t>Vintage Bulb Sprayer with Tassel</t>
        </is>
      </c>
      <c r="F185" s="24" t="inlineStr">
        <is>
          <t>18-415</t>
        </is>
      </c>
      <c r="G185" s="24" t="inlineStr">
        <is>
          <t>50 ml Clear Empire Vintage Bulb Spray Bottle with Tassel</t>
        </is>
      </c>
      <c r="H185" s="24" t="inlineStr">
        <is>
          <t>Glass Bottle</t>
        </is>
      </c>
      <c r="I185" s="24" t="inlineStr">
        <is>
          <t>Empire</t>
        </is>
      </c>
      <c r="J185" s="24" t="inlineStr">
        <is>
          <t>empire-50ml-clear-18-415-antiquespray-tassel</t>
        </is>
      </c>
      <c r="K185" s="24" t="inlineStr">
        <is>
          <t>kh754mdvzqqv480e7k365a00n583jmk2</t>
        </is>
      </c>
      <c r="L185" s="24" t="inlineStr">
        <is>
          <t>GB-EMP-CLR-50ML-AST-RED</t>
        </is>
      </c>
      <c r="M185" s="24" t="inlineStr">
        <is>
          <t>GBEmp50AnSpTslRed</t>
        </is>
      </c>
      <c r="N185" s="24" t="inlineStr">
        <is>
          <t>GBEmp50AnSpTslRed, GBEmp50AnSpTslWht, GBEmp50AnSpTslMtSl, GBEmp50AnSpTslBlk, GBEmp50AnSpTslGl, GBEmp50AnSpTslIvyGl, GBEmp50AnSpTslLvn, GBEmp50AnSpTslPnk, GBEmp50AnSpTslIvySl</t>
        </is>
      </c>
      <c r="O185" s="25" t="inlineStr">
        <is>
          <t>https://www.bestbottles.com/product/empire-design-50-ml-glass-bottle-red-vintage-style-sprayer-with-tassel-shiny-silver-collar</t>
        </is>
      </c>
      <c r="P185" s="23" t="inlineStr">
        <is>
          <t>No</t>
        </is>
      </c>
      <c r="Q185" s="24" t="n"/>
      <c r="R185" s="24" t="n">
        <v>9</v>
      </c>
      <c r="S185" s="24" t="n">
        <v>6.9</v>
      </c>
      <c r="T185" s="24" t="n">
        <v>6.9</v>
      </c>
      <c r="U185" s="24" t="n"/>
      <c r="V185" s="24" t="n"/>
      <c r="W185" s="24" t="n"/>
      <c r="X185" s="24" t="n"/>
    </row>
    <row r="186" ht="15" customHeight="1" s="19">
      <c r="A186" s="21" t="n">
        <v>185</v>
      </c>
      <c r="B186" s="21" t="inlineStr">
        <is>
          <t>Empire</t>
        </is>
      </c>
      <c r="C186" s="21" t="n">
        <v>100</v>
      </c>
      <c r="D186" s="21" t="inlineStr">
        <is>
          <t>Clear</t>
        </is>
      </c>
      <c r="E186" s="21" t="inlineStr">
        <is>
          <t>Lotion Pump</t>
        </is>
      </c>
      <c r="F186" s="21" t="inlineStr">
        <is>
          <t>18-415</t>
        </is>
      </c>
      <c r="G186" s="21" t="inlineStr">
        <is>
          <t>100 ml Clear Empire Lotion Pump Bottle</t>
        </is>
      </c>
      <c r="H186" s="21" t="inlineStr">
        <is>
          <t>Glass Bottle</t>
        </is>
      </c>
      <c r="I186" s="21" t="inlineStr">
        <is>
          <t>Empire</t>
        </is>
      </c>
      <c r="J186" s="21" t="inlineStr">
        <is>
          <t>empire-100ml-clear-18-415-lotionpump</t>
        </is>
      </c>
      <c r="K186" s="21" t="inlineStr">
        <is>
          <t>kh71raf62vp5jhfth0m8036aw583j7wp</t>
        </is>
      </c>
      <c r="L186" s="21" t="inlineStr">
        <is>
          <t>LB-EMP-CLR-100ML-LPM-COCP</t>
        </is>
      </c>
      <c r="M186" s="21" t="inlineStr">
        <is>
          <t>LBEmp100LtnClOvrCap</t>
        </is>
      </c>
      <c r="N186" s="21" t="inlineStr">
        <is>
          <t>LBEmp100LtnClOvrCap, LBEmp100LtnMtGl, LBEmp100LtnShnGl, LBEmp100LtnShnBlk, LBEmp100LtnMtSl, LBEmp100LtnShnSl, LBEmp100WhtClOvrCp, LBEmp100LtnCu</t>
        </is>
      </c>
      <c r="O186" s="22" t="inlineStr">
        <is>
          <t>https://www.bestbottles.com/product/empire-design-100-ml-glass-bottle-clear-over-the-cap-lotion-pump-matte-silver-collar-cap</t>
        </is>
      </c>
      <c r="P186" s="23" t="inlineStr">
        <is>
          <t>No</t>
        </is>
      </c>
      <c r="Q186" s="21" t="n"/>
      <c r="R186" s="21" t="n">
        <v>8</v>
      </c>
      <c r="S186" s="21" t="n">
        <v>3.5</v>
      </c>
      <c r="T186" s="21" t="n">
        <v>3.5</v>
      </c>
      <c r="U186" s="21" t="n"/>
      <c r="V186" s="21" t="n"/>
      <c r="W186" s="21" t="n"/>
      <c r="X186" s="21" t="n"/>
    </row>
    <row r="187" ht="15" customHeight="1" s="19">
      <c r="A187" s="24" t="n">
        <v>186</v>
      </c>
      <c r="B187" s="24" t="inlineStr">
        <is>
          <t>Empire</t>
        </is>
      </c>
      <c r="C187" s="24" t="n">
        <v>100</v>
      </c>
      <c r="D187" s="24" t="inlineStr">
        <is>
          <t>Clear</t>
        </is>
      </c>
      <c r="E187" s="24" t="inlineStr">
        <is>
          <t>Perfume Spray Pump</t>
        </is>
      </c>
      <c r="F187" s="24" t="inlineStr">
        <is>
          <t>18-415</t>
        </is>
      </c>
      <c r="G187" s="24" t="inlineStr">
        <is>
          <t>100 ml Clear Empire Bottle</t>
        </is>
      </c>
      <c r="H187" s="24" t="inlineStr">
        <is>
          <t>Glass Bottle</t>
        </is>
      </c>
      <c r="I187" s="24" t="inlineStr">
        <is>
          <t>Empire</t>
        </is>
      </c>
      <c r="J187" s="24" t="inlineStr">
        <is>
          <t>empire-100ml-clear-18-415-perfumespray</t>
        </is>
      </c>
      <c r="K187" s="24" t="inlineStr">
        <is>
          <t>kh7cqtt00jbs93ta618p6n7w5d83km76</t>
        </is>
      </c>
      <c r="L187" s="24" t="inlineStr">
        <is>
          <t>GB-EMP-CLR-100ML-SPR-CPR</t>
        </is>
      </c>
      <c r="M187" s="24" t="inlineStr">
        <is>
          <t>GBEmp100SpryCu</t>
        </is>
      </c>
      <c r="N187" s="24" t="inlineStr">
        <is>
          <t>GBEmp100SpryCu, GBEmp100SpryMtGl, GBEmp100SpryShnGl, GBEmp100SpryShnBlk, GBEmp100SpryMtSl, GBEmp100SpryShnSl</t>
        </is>
      </c>
      <c r="O187" s="25" t="inlineStr">
        <is>
          <t>https://www.bestbottles.com/product/empire-design-100-ml-glass-bottle-matte-copper-spray-and-cap</t>
        </is>
      </c>
      <c r="P187" s="23" t="inlineStr">
        <is>
          <t>No</t>
        </is>
      </c>
      <c r="Q187" s="24" t="n"/>
      <c r="R187" s="24" t="n">
        <v>6</v>
      </c>
      <c r="S187" s="24" t="n">
        <v>3.5</v>
      </c>
      <c r="T187" s="24" t="n">
        <v>3.5</v>
      </c>
      <c r="U187" s="24" t="n"/>
      <c r="V187" s="24" t="n"/>
      <c r="W187" s="24" t="n"/>
      <c r="X187" s="24" t="n"/>
    </row>
    <row r="188" ht="15" customHeight="1" s="19">
      <c r="A188" s="21" t="n">
        <v>187</v>
      </c>
      <c r="B188" s="21" t="inlineStr">
        <is>
          <t>Empire</t>
        </is>
      </c>
      <c r="C188" s="21" t="n">
        <v>100</v>
      </c>
      <c r="D188" s="21" t="inlineStr">
        <is>
          <t>Clear</t>
        </is>
      </c>
      <c r="E188" s="21" t="inlineStr">
        <is>
          <t>Reducer</t>
        </is>
      </c>
      <c r="F188" s="21" t="inlineStr">
        <is>
          <t>18-415</t>
        </is>
      </c>
      <c r="G188" s="21" t="inlineStr">
        <is>
          <t>100 ml Clear Empire Reducer Bottle</t>
        </is>
      </c>
      <c r="H188" s="21" t="inlineStr">
        <is>
          <t>Glass Bottle</t>
        </is>
      </c>
      <c r="I188" s="21" t="inlineStr">
        <is>
          <t>Empire</t>
        </is>
      </c>
      <c r="J188" s="21" t="inlineStr">
        <is>
          <t>empire-100ml-clear-18-415-reducer</t>
        </is>
      </c>
      <c r="K188" s="21" t="inlineStr">
        <is>
          <t>kh7byrz92rsnsqmjqk45z3ps3n83kyph</t>
        </is>
      </c>
      <c r="L188" s="21" t="inlineStr">
        <is>
          <t>GB-EMP-CLR-100ML-RDC-SGLD</t>
        </is>
      </c>
      <c r="M188" s="21" t="inlineStr">
        <is>
          <t>GBEmp100RdcrShnGl</t>
        </is>
      </c>
      <c r="N188" s="21" t="inlineStr">
        <is>
          <t>GBEmp100RdcrShnGl, GBEmp100RdcrShnBlkTall, GBEmp100RdcrBrwnLthr, GBEmp100RdcrLBrwnLthr, GBEmp100RdcrShnSl, GBEmp100RdcrMtSlTall, GBEmp100RdcrMtSl, GBEmp100RdcrWht, GBEmp100RdcrPnkLthr, GBEmp100RdcrIvyLthr, GBEmp100RdcrShnBlk, GBEmp100RdcrBlkLthr</t>
        </is>
      </c>
      <c r="O188" s="22" t="inlineStr">
        <is>
          <t>https://www.bestbottles.com/product/empire-design-100-ml-glass-bottle-reducer-shiny-gold-cap</t>
        </is>
      </c>
      <c r="P188" s="23" t="inlineStr">
        <is>
          <t>No</t>
        </is>
      </c>
      <c r="Q188" s="21" t="n"/>
      <c r="R188" s="21" t="n">
        <v>12</v>
      </c>
      <c r="S188" s="21" t="n">
        <v>2.47</v>
      </c>
      <c r="T188" s="21" t="n">
        <v>2.75</v>
      </c>
      <c r="U188" s="21" t="n"/>
      <c r="V188" s="21" t="n"/>
      <c r="W188" s="21" t="n"/>
      <c r="X188" s="21" t="n"/>
    </row>
    <row r="189" ht="15" customHeight="1" s="19">
      <c r="A189" s="24" t="n">
        <v>188</v>
      </c>
      <c r="B189" s="24" t="inlineStr">
        <is>
          <t>Empire</t>
        </is>
      </c>
      <c r="C189" s="24" t="n">
        <v>100</v>
      </c>
      <c r="D189" s="24" t="inlineStr">
        <is>
          <t>Clear</t>
        </is>
      </c>
      <c r="E189" s="24" t="inlineStr">
        <is>
          <t>Vintage Bulb Sprayer</t>
        </is>
      </c>
      <c r="F189" s="24" t="inlineStr">
        <is>
          <t>18-415</t>
        </is>
      </c>
      <c r="G189" s="24" t="inlineStr">
        <is>
          <t>100 ml Clear Empire Vintage Bulb Spray Bottle</t>
        </is>
      </c>
      <c r="H189" s="24" t="inlineStr">
        <is>
          <t>Glass Bottle</t>
        </is>
      </c>
      <c r="I189" s="24" t="inlineStr">
        <is>
          <t>Empire</t>
        </is>
      </c>
      <c r="J189" s="24" t="inlineStr">
        <is>
          <t>empire-100ml-clear-18-415-antiquespray</t>
        </is>
      </c>
      <c r="K189" s="24" t="inlineStr">
        <is>
          <t>kh7edhtkm39sdy4mxzc3a4akfn83ksd2</t>
        </is>
      </c>
      <c r="L189" s="24" t="inlineStr">
        <is>
          <t>GB-EMP-CLR-100ML-ASP-BLK</t>
        </is>
      </c>
      <c r="M189" s="24" t="inlineStr">
        <is>
          <t>GBEmp100AnSpBlk</t>
        </is>
      </c>
      <c r="N189" s="24" t="inlineStr">
        <is>
          <t>GBEmp100AnSpBlk, GBEmp100AnSpLvn, GBEmp100AnSpPnk, GBEmp100AnSpMtSl, GBEmp100AnSpIvyGl, GBEmp100AnSpWht, GBEmp100AnSpRed, GBEmp100AnSpGl, GBEmp100AnSpIvySl</t>
        </is>
      </c>
      <c r="O189" s="25" t="inlineStr">
        <is>
          <t>https://www.bestbottles.com/product/empire-design-100-ml-glass-bottle-black-vintage-style-bulb-sprayer-shiny-silver-collar-cap</t>
        </is>
      </c>
      <c r="P189" s="23" t="inlineStr">
        <is>
          <t>No</t>
        </is>
      </c>
      <c r="Q189" s="24" t="n"/>
      <c r="R189" s="24" t="n">
        <v>9</v>
      </c>
      <c r="S189" s="24" t="n">
        <v>6.15</v>
      </c>
      <c r="T189" s="24" t="n">
        <v>6.35</v>
      </c>
      <c r="U189" s="24" t="n"/>
      <c r="V189" s="24" t="n"/>
      <c r="W189" s="24" t="n"/>
      <c r="X189" s="24" t="n"/>
    </row>
    <row r="190" ht="15" customHeight="1" s="19">
      <c r="A190" s="21" t="n">
        <v>189</v>
      </c>
      <c r="B190" s="21" t="inlineStr">
        <is>
          <t>Empire</t>
        </is>
      </c>
      <c r="C190" s="21" t="n">
        <v>100</v>
      </c>
      <c r="D190" s="21" t="inlineStr">
        <is>
          <t>Clear</t>
        </is>
      </c>
      <c r="E190" s="21" t="inlineStr">
        <is>
          <t>Vintage Bulb Sprayer with Tassel</t>
        </is>
      </c>
      <c r="F190" s="21" t="inlineStr">
        <is>
          <t>18-415</t>
        </is>
      </c>
      <c r="G190" s="21" t="inlineStr">
        <is>
          <t>100 ml Clear Empire Vintage Bulb Spray Bottle with Tassel</t>
        </is>
      </c>
      <c r="H190" s="21" t="inlineStr">
        <is>
          <t>Glass Bottle</t>
        </is>
      </c>
      <c r="I190" s="21" t="inlineStr">
        <is>
          <t>Empire</t>
        </is>
      </c>
      <c r="J190" s="21" t="inlineStr">
        <is>
          <t>empire-100ml-clear-18-415-antiquespray-tassel</t>
        </is>
      </c>
      <c r="K190" s="21" t="inlineStr">
        <is>
          <t>kh75bn02gzqeeqe2ja8bybm13s83khvs</t>
        </is>
      </c>
      <c r="L190" s="21" t="inlineStr">
        <is>
          <t>GB-EMP-CLR-100ML-AST-BLK</t>
        </is>
      </c>
      <c r="M190" s="21" t="inlineStr">
        <is>
          <t>GBEmp100AnSpTslBlk</t>
        </is>
      </c>
      <c r="N190" s="21" t="inlineStr">
        <is>
          <t>GBEmp100AnSpTslBlk, GBEmp100AnSpTslIvySl, GBEmp100AnSpTslWht, GBEmp100AnSpTslMtSl, GBEmp100AnSpTslGl, GBEmp100AnSpTslIvyGl, GBEmp100AnSpTslLvn, GBEmp100AnSpTslPnk, GBEmp100AnSpTslRed</t>
        </is>
      </c>
      <c r="O190" s="22" t="inlineStr">
        <is>
          <t>https://www.bestbottles.com/product/empire-design-100-ml-glass-bottle-black-vintage-style-sprayer-with-tassel-shiny-silver-collar</t>
        </is>
      </c>
      <c r="P190" s="23" t="inlineStr">
        <is>
          <t>No</t>
        </is>
      </c>
      <c r="Q190" s="21" t="n"/>
      <c r="R190" s="21" t="n">
        <v>9</v>
      </c>
      <c r="S190" s="21" t="n">
        <v>7.1</v>
      </c>
      <c r="T190" s="21" t="n">
        <v>7.1</v>
      </c>
      <c r="U190" s="21" t="n"/>
      <c r="V190" s="21" t="n"/>
      <c r="W190" s="21" t="n"/>
      <c r="X190" s="21" t="n"/>
    </row>
    <row r="191" ht="15" customHeight="1" s="19">
      <c r="A191" s="24" t="n">
        <v>190</v>
      </c>
      <c r="B191" s="24" t="inlineStr">
        <is>
          <t>Flair</t>
        </is>
      </c>
      <c r="C191" s="24" t="n">
        <v>15</v>
      </c>
      <c r="D191" s="24" t="inlineStr">
        <is>
          <t>Clear</t>
        </is>
      </c>
      <c r="E191" s="24" t="inlineStr">
        <is>
          <t>Cap/Closure</t>
        </is>
      </c>
      <c r="F191" s="24" t="inlineStr">
        <is>
          <t>13-415</t>
        </is>
      </c>
      <c r="G191" s="24" t="inlineStr">
        <is>
          <t>15 ml Clear Flair Bottle with Cap</t>
        </is>
      </c>
      <c r="H191" s="24" t="inlineStr">
        <is>
          <t>Glass Bottle</t>
        </is>
      </c>
      <c r="I191" s="24" t="inlineStr">
        <is>
          <t>Flair</t>
        </is>
      </c>
      <c r="J191" s="24" t="inlineStr">
        <is>
          <t>flair-15ml-clear-13-415</t>
        </is>
      </c>
      <c r="K191" s="24" t="inlineStr">
        <is>
          <t>kh78g7htncjm5bmv92dbmspqss83jnc3</t>
        </is>
      </c>
      <c r="L191" s="24" t="inlineStr">
        <is>
          <t>GB-FLR-CLR-15ML-BLK-S</t>
        </is>
      </c>
      <c r="M191" s="24" t="inlineStr">
        <is>
          <t>GBFlair15BlkSht</t>
        </is>
      </c>
      <c r="N191" s="24" t="inlineStr">
        <is>
          <t>GBFlair15BlkSht, GBFlair15Gl, GBFlair15Sl, GBFlair15WhtSht</t>
        </is>
      </c>
      <c r="O191" s="25" t="inlineStr">
        <is>
          <t>https://www.bestbottles.com/product/flair-design-15-ml-glass-bottle-short-black-cap</t>
        </is>
      </c>
      <c r="P191" s="23" t="inlineStr">
        <is>
          <t>No</t>
        </is>
      </c>
      <c r="Q191" s="24" t="n"/>
      <c r="R191" s="24" t="n">
        <v>4</v>
      </c>
      <c r="S191" s="24" t="n">
        <v>0.44</v>
      </c>
      <c r="T191" s="24" t="n">
        <v>0.62</v>
      </c>
      <c r="U191" s="24" t="n"/>
      <c r="V191" s="24" t="n"/>
      <c r="W191" s="24" t="n"/>
      <c r="X191" s="24" t="n"/>
    </row>
    <row r="192" ht="15" customHeight="1" s="19">
      <c r="A192" s="21" t="n">
        <v>191</v>
      </c>
      <c r="B192" s="21" t="inlineStr">
        <is>
          <t>Flair</t>
        </is>
      </c>
      <c r="C192" s="21" t="n">
        <v>15</v>
      </c>
      <c r="D192" s="21" t="inlineStr">
        <is>
          <t>Clear</t>
        </is>
      </c>
      <c r="E192" s="21" t="inlineStr">
        <is>
          <t>Fine Mist Sprayer</t>
        </is>
      </c>
      <c r="F192" s="21" t="inlineStr">
        <is>
          <t>13-415</t>
        </is>
      </c>
      <c r="G192" s="21" t="inlineStr">
        <is>
          <t>15 ml Clear Flair Fine Mist Spray Bottle</t>
        </is>
      </c>
      <c r="H192" s="21" t="inlineStr">
        <is>
          <t>Glass Bottle</t>
        </is>
      </c>
      <c r="I192" s="21" t="inlineStr">
        <is>
          <t>Flair</t>
        </is>
      </c>
      <c r="J192" s="21" t="inlineStr">
        <is>
          <t>flair-15ml-clear-13-415-finemist</t>
        </is>
      </c>
      <c r="K192" s="21" t="inlineStr">
        <is>
          <t>kh7dpxb0kya1x6q23xapb49hth83jqyb</t>
        </is>
      </c>
      <c r="L192" s="21" t="inlineStr">
        <is>
          <t>GB-FLR-CLR-15ML-SPR-MBLK</t>
        </is>
      </c>
      <c r="M192" s="21" t="inlineStr">
        <is>
          <t>GBFlair15SpryBlkMatt</t>
        </is>
      </c>
      <c r="N192" s="21" t="inlineStr">
        <is>
          <t>GBFlair15SpryBlkMatt, GBFlair15SpryBlkSh, GBFlair15SpryGlSh, GBFlair15SprySlMatt, GBFlair15SprySlSh, GBFlair15SpryBluMatt, GBFlair15SpryCuMatt, GBFlair15SpryGlMatt</t>
        </is>
      </c>
      <c r="O192" s="22" t="inlineStr">
        <is>
          <t>https://www.bestbottles.com/product/flair-design-15-ml-glass-bottle-matte-black-spray</t>
        </is>
      </c>
      <c r="P192" s="23" t="inlineStr">
        <is>
          <t>No</t>
        </is>
      </c>
      <c r="Q192" s="21" t="n"/>
      <c r="R192" s="21" t="n">
        <v>8</v>
      </c>
      <c r="S192" s="21" t="n">
        <v>0.97</v>
      </c>
      <c r="T192" s="21" t="n">
        <v>0.97</v>
      </c>
      <c r="U192" s="21" t="n"/>
      <c r="V192" s="21" t="n"/>
      <c r="W192" s="21" t="n"/>
      <c r="X192" s="21" t="n"/>
    </row>
    <row r="193" ht="15" customHeight="1" s="19">
      <c r="A193" s="24" t="n">
        <v>192</v>
      </c>
      <c r="B193" s="24" t="inlineStr">
        <is>
          <t>Flair</t>
        </is>
      </c>
      <c r="C193" s="24" t="n">
        <v>15</v>
      </c>
      <c r="D193" s="24" t="inlineStr">
        <is>
          <t>Clear</t>
        </is>
      </c>
      <c r="E193" s="24" t="inlineStr">
        <is>
          <t>Metal Roller Ball, Plastic Roller Ball</t>
        </is>
      </c>
      <c r="F193" s="24" t="inlineStr">
        <is>
          <t>13-415</t>
        </is>
      </c>
      <c r="G193" s="24" t="inlineStr">
        <is>
          <t>15 ml Clear Flair Roll-On Bottle</t>
        </is>
      </c>
      <c r="H193" s="24" t="inlineStr">
        <is>
          <t>Glass Bottle</t>
        </is>
      </c>
      <c r="I193" s="24" t="inlineStr">
        <is>
          <t>Flair</t>
        </is>
      </c>
      <c r="J193" s="24" t="inlineStr">
        <is>
          <t>flair-15ml-clear-13-415-rollon</t>
        </is>
      </c>
      <c r="K193" s="24" t="inlineStr">
        <is>
          <t>kh7476tvxx6jcb2g541gt73jsn83j7md</t>
        </is>
      </c>
      <c r="L193" s="24" t="inlineStr">
        <is>
          <t>GB-FLR-CLR-15ML-ROL-SLDT</t>
        </is>
      </c>
      <c r="M193" s="24" t="inlineStr">
        <is>
          <t>GBFlair15RollSlDot</t>
        </is>
      </c>
      <c r="N193" s="24" t="inlineStr">
        <is>
          <t>GBFlair15RollSlDot, GBFlair15RollSlMatt, GBFlair15RollSlSh, GBFlair15RollBlkSh, GBFlair15RollCuMatt, GBFlair15RollGlMatt, GBFlair15RollGlSh, GBFlair15RollPinkDot, GBFlair15RollBlkDot, GBFlair15MtlRollBlkDot, GBFlair15MtlRollBlkSh, GBFlair15MtlRollCuMatt, GBFlair15MtlRollGlMatt, GBFlair15MtlRollGlSh, GBFlair15MtlRollPinkDot, GBFlair15MtlRollSlDot, GBFlair15MtlRollSlMatt, GBFlair15MtlRollSlSh</t>
        </is>
      </c>
      <c r="O193" s="25" t="inlineStr">
        <is>
          <t>https://www.bestbottles.com/product/flair-design-15-ml-glass-bottle-plastic-roller-ball-plug-silver-cap-with-dots</t>
        </is>
      </c>
      <c r="P193" s="23" t="inlineStr">
        <is>
          <t>No</t>
        </is>
      </c>
      <c r="Q193" s="24" t="n"/>
      <c r="R193" s="24" t="n">
        <v>18</v>
      </c>
      <c r="S193" s="24" t="n">
        <v>0.74</v>
      </c>
      <c r="T193" s="24" t="n">
        <v>0.89</v>
      </c>
      <c r="U193" s="24" t="n"/>
      <c r="V193" s="24" t="n"/>
      <c r="W193" s="24" t="n"/>
      <c r="X193" s="24" t="n"/>
    </row>
    <row r="194" ht="15" customHeight="1" s="19">
      <c r="A194" s="21" t="n">
        <v>193</v>
      </c>
      <c r="B194" s="21" t="inlineStr">
        <is>
          <t>Grace</t>
        </is>
      </c>
      <c r="C194" s="21" t="n">
        <v>55</v>
      </c>
      <c r="D194" s="21" t="inlineStr">
        <is>
          <t>Clear</t>
        </is>
      </c>
      <c r="E194" s="21" t="inlineStr">
        <is>
          <t>Lotion Pump</t>
        </is>
      </c>
      <c r="F194" s="21" t="inlineStr">
        <is>
          <t>18-415</t>
        </is>
      </c>
      <c r="G194" s="21" t="inlineStr">
        <is>
          <t>55 ml Clear Grace Lotion Pump Bottle</t>
        </is>
      </c>
      <c r="H194" s="21" t="inlineStr">
        <is>
          <t>Glass Bottle</t>
        </is>
      </c>
      <c r="I194" s="21" t="inlineStr">
        <is>
          <t>Grace</t>
        </is>
      </c>
      <c r="J194" s="21" t="inlineStr">
        <is>
          <t>grace-55ml-clear-18-415-lotionpump</t>
        </is>
      </c>
      <c r="K194" s="21" t="inlineStr">
        <is>
          <t>kh772b3bs0wcbrn8yjf34dgb0s83knf2</t>
        </is>
      </c>
      <c r="L194" s="21" t="inlineStr">
        <is>
          <t>LB-GRC-CLR-55ML-LPM-MGLD</t>
        </is>
      </c>
      <c r="M194" s="21" t="inlineStr">
        <is>
          <t>LBGrce55LtnMtGl</t>
        </is>
      </c>
      <c r="N194" s="21" t="inlineStr">
        <is>
          <t>LBGrce55LtnMtGl, LBGrce55LtnMtSl, LBGrce55LtnCu, LBGrce55LtnShnGl, LBGrce55LtnShnBlk, LBGrce55LtnShnSl, LBGrce55LtnClOvrCap</t>
        </is>
      </c>
      <c r="O194" s="22" t="inlineStr">
        <is>
          <t>https://www.bestbottles.com/product/grace-design-55-ml-glass-bottle-matte-gold-lotion-pump-and-cap</t>
        </is>
      </c>
      <c r="P194" s="23" t="inlineStr">
        <is>
          <t>No</t>
        </is>
      </c>
      <c r="Q194" s="21" t="n"/>
      <c r="R194" s="21" t="n">
        <v>7</v>
      </c>
      <c r="S194" s="21" t="n">
        <v>2.7</v>
      </c>
      <c r="T194" s="21" t="n">
        <v>2.7</v>
      </c>
      <c r="U194" s="21" t="n"/>
      <c r="V194" s="21" t="n"/>
      <c r="W194" s="21" t="n"/>
      <c r="X194" s="21" t="n"/>
    </row>
    <row r="195" ht="15" customHeight="1" s="19">
      <c r="A195" s="24" t="n">
        <v>194</v>
      </c>
      <c r="B195" s="24" t="inlineStr">
        <is>
          <t>Grace</t>
        </is>
      </c>
      <c r="C195" s="24" t="n">
        <v>55</v>
      </c>
      <c r="D195" s="24" t="inlineStr">
        <is>
          <t>Clear</t>
        </is>
      </c>
      <c r="E195" s="24" t="inlineStr">
        <is>
          <t>Perfume Spray Pump</t>
        </is>
      </c>
      <c r="F195" s="24" t="inlineStr">
        <is>
          <t>18-415</t>
        </is>
      </c>
      <c r="G195" s="24" t="inlineStr">
        <is>
          <t>55 ml Clear Grace Bottle</t>
        </is>
      </c>
      <c r="H195" s="24" t="inlineStr">
        <is>
          <t>Glass Bottle</t>
        </is>
      </c>
      <c r="I195" s="24" t="inlineStr">
        <is>
          <t>Grace</t>
        </is>
      </c>
      <c r="J195" s="24" t="inlineStr">
        <is>
          <t>grace-55ml-clear-18-415-perfumespray</t>
        </is>
      </c>
      <c r="K195" s="24" t="inlineStr">
        <is>
          <t>kh74tqdpxwvydcvfp9dc3k7yjx83jbzs</t>
        </is>
      </c>
      <c r="L195" s="24" t="inlineStr">
        <is>
          <t>GB-GRC-CLR-55ML-SPR-MGLD</t>
        </is>
      </c>
      <c r="M195" s="24" t="inlineStr">
        <is>
          <t>GBGrce55SpryMtGl</t>
        </is>
      </c>
      <c r="N195" s="24" t="inlineStr">
        <is>
          <t>GBGrce55SpryMtGl, GBGrce55SpryShnGl, GBGrce55SpryShnBlk, GBGrce55SpryMtSl, GBGrce55SpryShnSl, GBGrce55SpryCu</t>
        </is>
      </c>
      <c r="O195" s="25" t="inlineStr">
        <is>
          <t>https://www.bestbottles.com/product/grace-design-55-ml-glass-bottle-matte-gold-spray-pump-and-cap</t>
        </is>
      </c>
      <c r="P195" s="23" t="inlineStr">
        <is>
          <t>No</t>
        </is>
      </c>
      <c r="Q195" s="24" t="n"/>
      <c r="R195" s="24" t="n">
        <v>6</v>
      </c>
      <c r="S195" s="24" t="n">
        <v>2.7</v>
      </c>
      <c r="T195" s="24" t="n">
        <v>2.7</v>
      </c>
      <c r="U195" s="24" t="n"/>
      <c r="V195" s="24" t="n"/>
      <c r="W195" s="24" t="n"/>
      <c r="X195" s="24" t="n"/>
    </row>
    <row r="196" ht="15" customHeight="1" s="19">
      <c r="A196" s="21" t="n">
        <v>195</v>
      </c>
      <c r="B196" s="21" t="inlineStr">
        <is>
          <t>Grace</t>
        </is>
      </c>
      <c r="C196" s="21" t="n">
        <v>55</v>
      </c>
      <c r="D196" s="21" t="inlineStr">
        <is>
          <t>Clear</t>
        </is>
      </c>
      <c r="E196" s="21" t="inlineStr">
        <is>
          <t>Reducer</t>
        </is>
      </c>
      <c r="F196" s="21" t="inlineStr">
        <is>
          <t>18-415</t>
        </is>
      </c>
      <c r="G196" s="21" t="inlineStr">
        <is>
          <t>55 ml Clear Grace Reducer Bottle</t>
        </is>
      </c>
      <c r="H196" s="21" t="inlineStr">
        <is>
          <t>Glass Bottle</t>
        </is>
      </c>
      <c r="I196" s="21" t="inlineStr">
        <is>
          <t>Grace</t>
        </is>
      </c>
      <c r="J196" s="21" t="inlineStr">
        <is>
          <t>grace-55ml-clear-18-415-reducer</t>
        </is>
      </c>
      <c r="K196" s="21" t="inlineStr">
        <is>
          <t>kh7e9t182jmbbzqvrjkxcqm47583jbdq</t>
        </is>
      </c>
      <c r="L196" s="21" t="inlineStr">
        <is>
          <t>GB-GRC-CLR-55ML-RDC-BKLT</t>
        </is>
      </c>
      <c r="M196" s="21" t="inlineStr">
        <is>
          <t>GBGrce55RdcrBlkLthr</t>
        </is>
      </c>
      <c r="N196" s="21" t="inlineStr">
        <is>
          <t>GBGrce55RdcrBlkLthr, GBGrce55RdcrShnGl, GBGrce55RdcrShnBlkTall, GBGrce55RdcrShnBlk, GBGrce55RdcrBrwnLthr, GBGrce55RdcrLBrwnLthr, GBGrce55RdcrShnSl, GBGrce55RdcrMtSlTall, GBGrce55RdcrMtSl, GBGrce55RdcrWht, GBGrce55RdcrPnkLthr, GBGrce55RdcrIvyLthr</t>
        </is>
      </c>
      <c r="O196" s="22" t="inlineStr">
        <is>
          <t>https://www.bestbottles.com/product/grace-design-55-ml-glass-bottle-reducer-black-faux-leather-cap</t>
        </is>
      </c>
      <c r="P196" s="23" t="inlineStr">
        <is>
          <t>No</t>
        </is>
      </c>
      <c r="Q196" s="21" t="n"/>
      <c r="R196" s="21" t="n">
        <v>12</v>
      </c>
      <c r="S196" s="21" t="n">
        <v>1.67</v>
      </c>
      <c r="T196" s="21" t="n">
        <v>1.95</v>
      </c>
      <c r="U196" s="21" t="n"/>
      <c r="V196" s="21" t="n"/>
      <c r="W196" s="21" t="n"/>
      <c r="X196" s="21" t="n"/>
    </row>
    <row r="197" ht="15" customHeight="1" s="19">
      <c r="A197" s="24" t="n">
        <v>196</v>
      </c>
      <c r="B197" s="24" t="inlineStr">
        <is>
          <t>Grace</t>
        </is>
      </c>
      <c r="C197" s="24" t="n">
        <v>55</v>
      </c>
      <c r="D197" s="24" t="inlineStr">
        <is>
          <t>Clear</t>
        </is>
      </c>
      <c r="E197" s="24" t="inlineStr">
        <is>
          <t>Vintage Bulb Sprayer</t>
        </is>
      </c>
      <c r="F197" s="24" t="inlineStr">
        <is>
          <t>18-415</t>
        </is>
      </c>
      <c r="G197" s="24" t="inlineStr">
        <is>
          <t>55 ml Clear Grace Vintage Bulb Spray Bottle</t>
        </is>
      </c>
      <c r="H197" s="24" t="inlineStr">
        <is>
          <t>Glass Bottle</t>
        </is>
      </c>
      <c r="I197" s="24" t="inlineStr">
        <is>
          <t>Grace</t>
        </is>
      </c>
      <c r="J197" s="24" t="inlineStr">
        <is>
          <t>grace-55ml-clear-18-415-antiquespray</t>
        </is>
      </c>
      <c r="K197" s="24" t="inlineStr">
        <is>
          <t>kh7c2z64fy0bjwjc62j4fax1bh83kb96</t>
        </is>
      </c>
      <c r="L197" s="24" t="inlineStr">
        <is>
          <t>GB-GRC-CLR-55ML-ASP-GLD</t>
        </is>
      </c>
      <c r="M197" s="24" t="inlineStr">
        <is>
          <t>GBGrce55AnSpGl</t>
        </is>
      </c>
      <c r="N197" s="24" t="inlineStr">
        <is>
          <t>GBGrce55AnSpGl, GBGrce55AnSpLvn, GBGrce55AnSpIvyGl, GBGrce55AnSpPnk, GBGrce55AnSpMtSl, GBGrce55AnSpWht, GBGrce55AnSpIvySl, GBGrce55AnSpRed, GBGrce55AnSpBlk</t>
        </is>
      </c>
      <c r="O197" s="25" t="inlineStr">
        <is>
          <t>https://www.bestbottles.com/product/grace-design-55-ml-glass-bottle-gold-vintage-style-sprayer-shiny-gold-collar-cap</t>
        </is>
      </c>
      <c r="P197" s="23" t="inlineStr">
        <is>
          <t>No</t>
        </is>
      </c>
      <c r="Q197" s="24" t="n"/>
      <c r="R197" s="24" t="n">
        <v>9</v>
      </c>
      <c r="S197" s="24" t="n">
        <v>5.55</v>
      </c>
      <c r="T197" s="24" t="n">
        <v>5.55</v>
      </c>
      <c r="U197" s="24" t="n"/>
      <c r="V197" s="24" t="n"/>
      <c r="W197" s="24" t="n"/>
      <c r="X197" s="24" t="n"/>
    </row>
    <row r="198" ht="15" customHeight="1" s="19">
      <c r="A198" s="21" t="n">
        <v>197</v>
      </c>
      <c r="B198" s="21" t="inlineStr">
        <is>
          <t>Grace</t>
        </is>
      </c>
      <c r="C198" s="21" t="n">
        <v>55</v>
      </c>
      <c r="D198" s="21" t="inlineStr">
        <is>
          <t>Clear</t>
        </is>
      </c>
      <c r="E198" s="21" t="inlineStr">
        <is>
          <t>Vintage Bulb Sprayer with Tassel</t>
        </is>
      </c>
      <c r="F198" s="21" t="inlineStr">
        <is>
          <t>18-415</t>
        </is>
      </c>
      <c r="G198" s="21" t="inlineStr">
        <is>
          <t>55 ml Clear Grace Vintage Bulb Spray Bottle with Tassel</t>
        </is>
      </c>
      <c r="H198" s="21" t="inlineStr">
        <is>
          <t>Glass Bottle</t>
        </is>
      </c>
      <c r="I198" s="21" t="inlineStr">
        <is>
          <t>Grace</t>
        </is>
      </c>
      <c r="J198" s="21" t="inlineStr">
        <is>
          <t>grace-55ml-clear-18-415-antiquespray-tassel</t>
        </is>
      </c>
      <c r="K198" s="21" t="inlineStr">
        <is>
          <t>kh713wt93nr06xfjjambbekexs83kf62</t>
        </is>
      </c>
      <c r="L198" s="21" t="inlineStr">
        <is>
          <t>GB-GRC-CLR-55ML-AST-PNK</t>
        </is>
      </c>
      <c r="M198" s="21" t="inlineStr">
        <is>
          <t>GBGrce55AnSpTslPnk</t>
        </is>
      </c>
      <c r="N198" s="21" t="inlineStr">
        <is>
          <t>GBGrce55AnSpTslPnk, GBGrce55AnSpTslGl, GBGrce55AnSpTslIvySl, GBGrce55AnSpTslRed, GBGrce55AnSpTslLvn, GBGrce55AnSpTslIvyGl, GBGrce55AnSpTslWht, GBGrce55AnSpTslMtSl, GBGrce55AnSpTslBlk</t>
        </is>
      </c>
      <c r="O198" s="22" t="inlineStr">
        <is>
          <t>https://www.bestbottles.com/product/grace-design-55-ml-glass-bottle-pink-vintage-style-sprayer-with-tassel-shiny-gold-collar</t>
        </is>
      </c>
      <c r="P198" s="23" t="inlineStr">
        <is>
          <t>No</t>
        </is>
      </c>
      <c r="Q198" s="21" t="n"/>
      <c r="R198" s="21" t="n">
        <v>9</v>
      </c>
      <c r="S198" s="21" t="n">
        <v>6.3</v>
      </c>
      <c r="T198" s="21" t="n">
        <v>6.3</v>
      </c>
      <c r="U198" s="21" t="n"/>
      <c r="V198" s="21" t="n"/>
      <c r="W198" s="21" t="n"/>
      <c r="X198" s="21" t="n"/>
    </row>
    <row r="199" ht="15" customHeight="1" s="19">
      <c r="A199" s="24" t="n">
        <v>198</v>
      </c>
      <c r="B199" s="24" t="inlineStr">
        <is>
          <t>Lotion Bottle</t>
        </is>
      </c>
      <c r="C199" s="24" t="n">
        <v>3</v>
      </c>
      <c r="D199" s="24" t="inlineStr">
        <is>
          <t>Clear</t>
        </is>
      </c>
      <c r="E199" s="24" t="inlineStr">
        <is>
          <t>Cap/Closure</t>
        </is>
      </c>
      <c r="F199" s="24" t="inlineStr">
        <is>
          <t>Snap-On</t>
        </is>
      </c>
      <c r="G199" s="24" t="inlineStr">
        <is>
          <t>3 ml Clear Lotion Bottle Bottle with Cap</t>
        </is>
      </c>
      <c r="H199" s="24" t="inlineStr">
        <is>
          <t>Glass Bottle</t>
        </is>
      </c>
      <c r="I199" s="24" t="inlineStr">
        <is>
          <t>Lotion Bottle</t>
        </is>
      </c>
      <c r="J199" s="24" t="inlineStr">
        <is>
          <t>lotion-bottle-3ml-clear-Snap-On</t>
        </is>
      </c>
      <c r="K199" s="24" t="inlineStr">
        <is>
          <t>kh72rmb3fdvax5ea0h4c3d1pjh83kq6b</t>
        </is>
      </c>
      <c r="L199" s="24" t="inlineStr">
        <is>
          <t>LB-LTB-CLR-3ML-CLR-T</t>
        </is>
      </c>
      <c r="M199" s="24" t="inlineStr">
        <is>
          <t>LB3mlClear</t>
        </is>
      </c>
      <c r="N199" s="24" t="inlineStr">
        <is>
          <t>LB3mlClear</t>
        </is>
      </c>
      <c r="O199" s="25" t="inlineStr">
        <is>
          <t>https://www.bestbottles.com/product/Lotion-bottle-Plastic-Clear-promotional-sample-size-3ml</t>
        </is>
      </c>
      <c r="P199" s="23" t="inlineStr">
        <is>
          <t>No</t>
        </is>
      </c>
      <c r="Q199" s="24" t="n"/>
      <c r="R199" s="24" t="n">
        <v>1</v>
      </c>
      <c r="S199" s="24" t="n">
        <v>0.35</v>
      </c>
      <c r="T199" s="24" t="n">
        <v>0.35</v>
      </c>
      <c r="U199" s="24" t="n"/>
      <c r="V199" s="24" t="n"/>
      <c r="W199" s="24" t="n"/>
      <c r="X199" s="24" t="n"/>
    </row>
    <row r="200" ht="15" customHeight="1" s="19">
      <c r="A200" s="21" t="n">
        <v>199</v>
      </c>
      <c r="B200" s="21" t="inlineStr">
        <is>
          <t>Lotion Bottle</t>
        </is>
      </c>
      <c r="C200" s="21" t="n">
        <v>30</v>
      </c>
      <c r="D200" s="21" t="inlineStr">
        <is>
          <t>Clear</t>
        </is>
      </c>
      <c r="E200" s="21" t="inlineStr">
        <is>
          <t>Cap/Closure</t>
        </is>
      </c>
      <c r="F200" s="21" t="n"/>
      <c r="G200" s="21" t="inlineStr">
        <is>
          <t>30 ml Clear Lotion Bottle Bottle with Cap</t>
        </is>
      </c>
      <c r="H200" s="21" t="inlineStr">
        <is>
          <t>Glass Bottle</t>
        </is>
      </c>
      <c r="I200" s="21" t="inlineStr">
        <is>
          <t>Lotion Bottle</t>
        </is>
      </c>
      <c r="J200" s="21" t="inlineStr">
        <is>
          <t>lotion-bottle-30ml-clear</t>
        </is>
      </c>
      <c r="K200" s="21" t="inlineStr">
        <is>
          <t>kh78t5wvny13gjjy44q2xh09zn83j2m4</t>
        </is>
      </c>
      <c r="L200" s="21" t="inlineStr">
        <is>
          <t>LB-LTB-CLR-30ML-SGLD-T</t>
        </is>
      </c>
      <c r="M200" s="21" t="inlineStr">
        <is>
          <t>LB1ozGl</t>
        </is>
      </c>
      <c r="N200" s="21" t="inlineStr">
        <is>
          <t>LB1ozGl, LB1ozSl</t>
        </is>
      </c>
      <c r="O200" s="22" t="inlineStr">
        <is>
          <t>https://www.bestbottles.com/product/Lotion-bottle-Gold-treatment-pump-cylinder-1oz</t>
        </is>
      </c>
      <c r="P200" s="23" t="inlineStr">
        <is>
          <t>No</t>
        </is>
      </c>
      <c r="Q200" s="21" t="n"/>
      <c r="R200" s="21" t="n">
        <v>2</v>
      </c>
      <c r="S200" s="21" t="n">
        <v>2.1</v>
      </c>
      <c r="T200" s="21" t="n">
        <v>2.1</v>
      </c>
      <c r="U200" s="21" t="n"/>
      <c r="V200" s="21" t="n"/>
      <c r="W200" s="21" t="n"/>
      <c r="X200" s="21" t="n"/>
    </row>
    <row r="201" ht="15" customHeight="1" s="19">
      <c r="A201" s="24" t="n">
        <v>200</v>
      </c>
      <c r="B201" s="24" t="inlineStr">
        <is>
          <t>Lotion Bottle</t>
        </is>
      </c>
      <c r="C201" s="24" t="n">
        <v>30</v>
      </c>
      <c r="D201" s="24" t="inlineStr">
        <is>
          <t>Clear</t>
        </is>
      </c>
      <c r="E201" s="24" t="inlineStr">
        <is>
          <t>Cap/Closure</t>
        </is>
      </c>
      <c r="F201" s="24" t="inlineStr">
        <is>
          <t>18mm</t>
        </is>
      </c>
      <c r="G201" s="24" t="inlineStr">
        <is>
          <t>30 ml Clear Lotion Bottle Bottle with Cap</t>
        </is>
      </c>
      <c r="H201" s="24" t="inlineStr">
        <is>
          <t>Glass Bottle</t>
        </is>
      </c>
      <c r="I201" s="24" t="inlineStr">
        <is>
          <t>Lotion Bottle</t>
        </is>
      </c>
      <c r="J201" s="24" t="inlineStr">
        <is>
          <t>lotion-bottle-30ml-clear-18mm</t>
        </is>
      </c>
      <c r="K201" s="24" t="inlineStr">
        <is>
          <t>kh743yhgebag8qmq33tj7xfd0n83jd8k</t>
        </is>
      </c>
      <c r="L201" s="24" t="inlineStr">
        <is>
          <t>LB-LTB-CLR-30ML-T</t>
        </is>
      </c>
      <c r="M201" s="24" t="inlineStr">
        <is>
          <t>LBMetalSilver1oz</t>
        </is>
      </c>
      <c r="N201" s="24" t="inlineStr">
        <is>
          <t>LBMetalSilver1oz</t>
        </is>
      </c>
      <c r="O201" s="25" t="inlineStr">
        <is>
          <t>https://www.bestbottles.com/product/Silver-metal-shell-and-metal-cap-refillable-lotion-bottle-1oz</t>
        </is>
      </c>
      <c r="P201" s="23" t="inlineStr">
        <is>
          <t>No</t>
        </is>
      </c>
      <c r="Q201" s="24" t="n"/>
      <c r="R201" s="24" t="n">
        <v>1</v>
      </c>
      <c r="S201" s="24" t="n">
        <v>3.75</v>
      </c>
      <c r="T201" s="24" t="n">
        <v>3.75</v>
      </c>
      <c r="U201" s="24" t="n"/>
      <c r="V201" s="24" t="n"/>
      <c r="W201" s="24" t="n"/>
      <c r="X201" s="24" t="n"/>
    </row>
    <row r="202" ht="15" customHeight="1" s="19">
      <c r="A202" s="21" t="n">
        <v>201</v>
      </c>
      <c r="B202" s="21" t="inlineStr">
        <is>
          <t>Pillar</t>
        </is>
      </c>
      <c r="C202" s="21" t="n">
        <v>9</v>
      </c>
      <c r="D202" s="21" t="inlineStr">
        <is>
          <t>Clear</t>
        </is>
      </c>
      <c r="E202" s="21" t="inlineStr">
        <is>
          <t>Cap/Closure</t>
        </is>
      </c>
      <c r="F202" s="21" t="inlineStr">
        <is>
          <t>13-415</t>
        </is>
      </c>
      <c r="G202" s="21" t="inlineStr">
        <is>
          <t>9 ml Clear Pillar Bottle with Cap</t>
        </is>
      </c>
      <c r="H202" s="21" t="inlineStr">
        <is>
          <t>Glass Bottle</t>
        </is>
      </c>
      <c r="I202" s="21" t="n"/>
      <c r="J202" s="21" t="inlineStr">
        <is>
          <t>pillar-9ml-clear-13-415</t>
        </is>
      </c>
      <c r="K202" s="21" t="inlineStr">
        <is>
          <t>kh76tcyr0mnbtk50hvgnqq839s83kewc</t>
        </is>
      </c>
      <c r="L202" s="21" t="inlineStr">
        <is>
          <t>GB-PIL-CLR-9ML-MRL-BDOT</t>
        </is>
      </c>
      <c r="M202" s="21" t="inlineStr">
        <is>
          <t>GBPillar9MtlRollBlkdot</t>
        </is>
      </c>
      <c r="N202" s="21" t="inlineStr">
        <is>
          <t>GBPillar9MtlRollBlkdot, GBPillar9RollBlkDot, GBPillar9BlkShSht</t>
        </is>
      </c>
      <c r="O202" s="22" t="inlineStr">
        <is>
          <t>https://www.bestbottles.com/product/pillar-design-5-ml-glass-bottle-metal-roller-ball-plug-black-dots-cap</t>
        </is>
      </c>
      <c r="P202" s="23" t="inlineStr">
        <is>
          <t>No</t>
        </is>
      </c>
      <c r="Q202" s="21" t="n"/>
      <c r="R202" s="21" t="n">
        <v>3</v>
      </c>
      <c r="S202" s="21" t="n">
        <v>0.44</v>
      </c>
      <c r="T202" s="21" t="n">
        <v>0.89</v>
      </c>
      <c r="U202" s="21" t="n"/>
      <c r="V202" s="21" t="n"/>
      <c r="W202" s="21" t="n"/>
      <c r="X202" s="21" t="n"/>
    </row>
    <row r="203" ht="15" customHeight="1" s="19">
      <c r="A203" s="24" t="n">
        <v>202</v>
      </c>
      <c r="B203" s="24" t="inlineStr">
        <is>
          <t>Pillar</t>
        </is>
      </c>
      <c r="C203" s="24" t="n">
        <v>9</v>
      </c>
      <c r="D203" s="24" t="inlineStr">
        <is>
          <t>Clear</t>
        </is>
      </c>
      <c r="E203" s="24" t="inlineStr">
        <is>
          <t>Fine Mist Sprayer</t>
        </is>
      </c>
      <c r="F203" s="24" t="inlineStr">
        <is>
          <t>17-415</t>
        </is>
      </c>
      <c r="G203" s="24" t="inlineStr">
        <is>
          <t>9 ml Clear Pillar Fine Mist Spray Bottle</t>
        </is>
      </c>
      <c r="H203" s="24" t="inlineStr">
        <is>
          <t>Glass Bottle</t>
        </is>
      </c>
      <c r="I203" s="24" t="inlineStr">
        <is>
          <t>Pillar</t>
        </is>
      </c>
      <c r="J203" s="24" t="inlineStr">
        <is>
          <t>pillar-9ml-clear-17-415-finemist</t>
        </is>
      </c>
      <c r="K203" s="24" t="inlineStr">
        <is>
          <t>kh78e435f9hrbkbzhve3hzdyqs83je6j</t>
        </is>
      </c>
      <c r="L203" s="24" t="inlineStr">
        <is>
          <t>GB-PIL-CLR-9ML-SPR-MBLK</t>
        </is>
      </c>
      <c r="M203" s="24" t="inlineStr">
        <is>
          <t>GBPillar9SpryBlkMatt</t>
        </is>
      </c>
      <c r="N203" s="24" t="inlineStr">
        <is>
          <t>GBPillar9SpryBlkMatt</t>
        </is>
      </c>
      <c r="O203" s="25" t="inlineStr">
        <is>
          <t>https://www.bestbottles.com/product/pillar-design-9-ml-clear-glass-bottle-matte-black-spray</t>
        </is>
      </c>
      <c r="P203" s="23" t="inlineStr">
        <is>
          <t>No</t>
        </is>
      </c>
      <c r="Q203" s="24" t="n"/>
      <c r="R203" s="24" t="n">
        <v>1</v>
      </c>
      <c r="S203" s="24" t="n">
        <v>0.97</v>
      </c>
      <c r="T203" s="24" t="n">
        <v>0.97</v>
      </c>
      <c r="U203" s="24" t="n"/>
      <c r="V203" s="24" t="n"/>
      <c r="W203" s="24" t="n"/>
      <c r="X203" s="24" t="n"/>
    </row>
    <row r="204" ht="15" customHeight="1" s="19">
      <c r="A204" s="21" t="n">
        <v>203</v>
      </c>
      <c r="B204" s="21" t="inlineStr">
        <is>
          <t>Rectangle</t>
        </is>
      </c>
      <c r="C204" s="21" t="n">
        <v>9</v>
      </c>
      <c r="D204" s="21" t="inlineStr">
        <is>
          <t>Clear</t>
        </is>
      </c>
      <c r="E204" s="21" t="inlineStr">
        <is>
          <t>Glass Stopper</t>
        </is>
      </c>
      <c r="F204" s="21" t="inlineStr">
        <is>
          <t>Ground</t>
        </is>
      </c>
      <c r="G204" s="21" t="inlineStr">
        <is>
          <t>9 ml Clear Rectangle Applicator Bottle</t>
        </is>
      </c>
      <c r="H204" s="21" t="inlineStr">
        <is>
          <t>Glass Bottle</t>
        </is>
      </c>
      <c r="I204" s="21" t="inlineStr">
        <is>
          <t>Rectangle</t>
        </is>
      </c>
      <c r="J204" s="21" t="inlineStr">
        <is>
          <t>rectangle-9ml-clear-Ground-glassapplicator</t>
        </is>
      </c>
      <c r="K204" s="21" t="inlineStr">
        <is>
          <t>kh76qfytat1ss2g362a32aexd583kqdf</t>
        </is>
      </c>
      <c r="L204" s="21" t="inlineStr">
        <is>
          <t>GB-RCT-CLR-9ML-T-01</t>
        </is>
      </c>
      <c r="M204" s="21" t="inlineStr">
        <is>
          <t>GBSQSTBlue</t>
        </is>
      </c>
      <c r="N204" s="21" t="inlineStr">
        <is>
          <t>GBSQSTBlue, GBSQSTClear, GBSQSTGREEN</t>
        </is>
      </c>
      <c r="O204" s="22" t="inlineStr">
        <is>
          <t>https://www.bestbottles.com/product/Perfume-small-Bottle-Jar-Rectangular-Blue-glass-stopper</t>
        </is>
      </c>
      <c r="P204" s="23" t="inlineStr">
        <is>
          <t>No</t>
        </is>
      </c>
      <c r="Q204" s="21" t="n"/>
      <c r="R204" s="21" t="n">
        <v>3</v>
      </c>
      <c r="S204" s="21" t="n">
        <v>3.2</v>
      </c>
      <c r="T204" s="21" t="n">
        <v>3.2</v>
      </c>
      <c r="U204" s="21" t="n"/>
      <c r="V204" s="21" t="n"/>
      <c r="W204" s="21" t="n"/>
      <c r="X204" s="21" t="n"/>
    </row>
    <row r="205" ht="15" customHeight="1" s="19">
      <c r="A205" s="24" t="n">
        <v>204</v>
      </c>
      <c r="B205" s="24" t="inlineStr">
        <is>
          <t>Rectangle</t>
        </is>
      </c>
      <c r="C205" s="24" t="n">
        <v>10</v>
      </c>
      <c r="D205" s="24" t="inlineStr">
        <is>
          <t>Clear</t>
        </is>
      </c>
      <c r="E205" s="24" t="inlineStr">
        <is>
          <t>Cap/Closure</t>
        </is>
      </c>
      <c r="F205" s="24" t="inlineStr">
        <is>
          <t>13-415</t>
        </is>
      </c>
      <c r="G205" s="24" t="inlineStr">
        <is>
          <t>10 ml Clear Footed Rectangle Bottle with Cap</t>
        </is>
      </c>
      <c r="H205" s="24" t="inlineStr">
        <is>
          <t>Glass Bottle</t>
        </is>
      </c>
      <c r="I205" s="24" t="inlineStr">
        <is>
          <t>Rectangle</t>
        </is>
      </c>
      <c r="J205" s="24" t="inlineStr">
        <is>
          <t>footed-rectangle-10ml-clear-13-415</t>
        </is>
      </c>
      <c r="K205" s="24" t="inlineStr">
        <is>
          <t>kh7bwv9jngkpdyaab7spmtjry583kdbj</t>
        </is>
      </c>
      <c r="L205" s="24" t="inlineStr">
        <is>
          <t>GB-RCT-CLR-10ML-GLD-T-01</t>
        </is>
      </c>
      <c r="M205" s="24" t="inlineStr">
        <is>
          <t>GBRect10Gl</t>
        </is>
      </c>
      <c r="N205" s="24" t="inlineStr">
        <is>
          <t>GBRect10Gl, GBRect10Sl, GBRect10WhtSht, GBRect10BlkSht</t>
        </is>
      </c>
      <c r="O205" s="25" t="inlineStr">
        <is>
          <t>https://www.bestbottles.com/product/footed-rectangular-design-10-ml-bottle-shiny-gold-cap</t>
        </is>
      </c>
      <c r="P205" s="23" t="inlineStr">
        <is>
          <t>No</t>
        </is>
      </c>
      <c r="Q205" s="24" t="n"/>
      <c r="R205" s="24" t="n">
        <v>4</v>
      </c>
      <c r="S205" s="24" t="n">
        <v>0.44</v>
      </c>
      <c r="T205" s="24" t="n">
        <v>0.62</v>
      </c>
      <c r="U205" s="24" t="n"/>
      <c r="V205" s="24" t="n"/>
      <c r="W205" s="24" t="n"/>
      <c r="X205" s="24" t="n"/>
    </row>
    <row r="206" ht="15" customHeight="1" s="19">
      <c r="A206" s="21" t="n">
        <v>205</v>
      </c>
      <c r="B206" s="21" t="inlineStr">
        <is>
          <t>Rectangle</t>
        </is>
      </c>
      <c r="C206" s="21" t="n">
        <v>10</v>
      </c>
      <c r="D206" s="21" t="inlineStr">
        <is>
          <t>Clear</t>
        </is>
      </c>
      <c r="E206" s="21" t="inlineStr">
        <is>
          <t>Cap/Closure</t>
        </is>
      </c>
      <c r="F206" s="21" t="inlineStr">
        <is>
          <t>13-415</t>
        </is>
      </c>
      <c r="G206" s="21" t="inlineStr">
        <is>
          <t>10 ml Clear Tall Rectangle Bottle with Cap</t>
        </is>
      </c>
      <c r="H206" s="21" t="inlineStr">
        <is>
          <t>Glass Bottle</t>
        </is>
      </c>
      <c r="I206" s="21" t="inlineStr">
        <is>
          <t>Rectangle</t>
        </is>
      </c>
      <c r="J206" s="21" t="inlineStr">
        <is>
          <t>tall-rectangle-10ml-clear-13-415</t>
        </is>
      </c>
      <c r="K206" s="21" t="inlineStr">
        <is>
          <t>kh75ta6zvsjdavj8pbys2e9yp983j3ap</t>
        </is>
      </c>
      <c r="L206" s="21" t="inlineStr">
        <is>
          <t>GB-RCT-CLR-10ML-GLD-T-02</t>
        </is>
      </c>
      <c r="M206" s="21" t="inlineStr">
        <is>
          <t>GBTallRect10Gl</t>
        </is>
      </c>
      <c r="N206" s="21" t="inlineStr">
        <is>
          <t>GBTallRect10Gl, GBTallRect10Sl, GBTallRect10WhtSht, GBTallRect10BlkSht</t>
        </is>
      </c>
      <c r="O206" s="22" t="inlineStr">
        <is>
          <t>https://www.bestbottles.com/product/tall-rectangular-design-10-ml-glass-bottle-shiny-gold-cap</t>
        </is>
      </c>
      <c r="P206" s="23" t="inlineStr">
        <is>
          <t>No</t>
        </is>
      </c>
      <c r="Q206" s="21" t="n"/>
      <c r="R206" s="21" t="n">
        <v>4</v>
      </c>
      <c r="S206" s="21" t="n">
        <v>0.67</v>
      </c>
      <c r="T206" s="21" t="n">
        <v>0.85</v>
      </c>
      <c r="U206" s="21" t="n"/>
      <c r="V206" s="21" t="n"/>
      <c r="W206" s="21" t="n"/>
      <c r="X206" s="21" t="n"/>
    </row>
    <row r="207" ht="15" customHeight="1" s="19">
      <c r="A207" s="24" t="n">
        <v>206</v>
      </c>
      <c r="B207" s="24" t="inlineStr">
        <is>
          <t>Rectangle</t>
        </is>
      </c>
      <c r="C207" s="24" t="n">
        <v>10</v>
      </c>
      <c r="D207" s="24" t="inlineStr">
        <is>
          <t>Clear</t>
        </is>
      </c>
      <c r="E207" s="24" t="inlineStr">
        <is>
          <t>Fine Mist Sprayer</t>
        </is>
      </c>
      <c r="F207" s="24" t="inlineStr">
        <is>
          <t>13-415</t>
        </is>
      </c>
      <c r="G207" s="24" t="inlineStr">
        <is>
          <t>10 ml Clear Footed Rectangle Fine Mist Spray Bottle</t>
        </is>
      </c>
      <c r="H207" s="24" t="inlineStr">
        <is>
          <t>Glass Bottle</t>
        </is>
      </c>
      <c r="I207" s="24" t="inlineStr">
        <is>
          <t>Rectangle</t>
        </is>
      </c>
      <c r="J207" s="24" t="inlineStr">
        <is>
          <t>footed-rectangle-10ml-clear-13-415-finemist</t>
        </is>
      </c>
      <c r="K207" s="24" t="inlineStr">
        <is>
          <t>kh7e1c2ag03a0afwcx3aeghppx83j6yc</t>
        </is>
      </c>
      <c r="L207" s="24" t="inlineStr">
        <is>
          <t>GB-RCT-CLR-10ML-SPR-MBLK-01</t>
        </is>
      </c>
      <c r="M207" s="24" t="inlineStr">
        <is>
          <t>GBRect10SpryBlkMatt</t>
        </is>
      </c>
      <c r="N207" s="24" t="inlineStr">
        <is>
          <t>GBRect10SpryBlkMatt, GBRect10SpryBlkSh, GBRect10SpryBluMatt, GBRect10SpryCuMatt, GBRect10SpryGlMatt, GBRect10SpryGlSh, GBRect10SprySlMatt, GBRect10SprySlSh</t>
        </is>
      </c>
      <c r="O207" s="25" t="inlineStr">
        <is>
          <t>https://www.bestbottles.com/product/footed-rectangular-design-10-ml-bottle-matte-black-spray</t>
        </is>
      </c>
      <c r="P207" s="23" t="inlineStr">
        <is>
          <t>No</t>
        </is>
      </c>
      <c r="Q207" s="24" t="n"/>
      <c r="R207" s="24" t="n">
        <v>8</v>
      </c>
      <c r="S207" s="24" t="n">
        <v>0.97</v>
      </c>
      <c r="T207" s="24" t="n">
        <v>0.97</v>
      </c>
      <c r="U207" s="24" t="n"/>
      <c r="V207" s="24" t="n"/>
      <c r="W207" s="24" t="n"/>
      <c r="X207" s="24" t="n"/>
    </row>
    <row r="208" ht="15" customHeight="1" s="19">
      <c r="A208" s="21" t="n">
        <v>207</v>
      </c>
      <c r="B208" s="21" t="inlineStr">
        <is>
          <t>Rectangle</t>
        </is>
      </c>
      <c r="C208" s="21" t="n">
        <v>10</v>
      </c>
      <c r="D208" s="21" t="inlineStr">
        <is>
          <t>Clear</t>
        </is>
      </c>
      <c r="E208" s="21" t="inlineStr">
        <is>
          <t>Fine Mist Sprayer</t>
        </is>
      </c>
      <c r="F208" s="21" t="inlineStr">
        <is>
          <t>13-415</t>
        </is>
      </c>
      <c r="G208" s="21" t="inlineStr">
        <is>
          <t>10 ml Clear Tall Rectangle Fine Mist Spray Bottle</t>
        </is>
      </c>
      <c r="H208" s="21" t="inlineStr">
        <is>
          <t>Glass Bottle</t>
        </is>
      </c>
      <c r="I208" s="21" t="inlineStr">
        <is>
          <t>Rectangle</t>
        </is>
      </c>
      <c r="J208" s="21" t="inlineStr">
        <is>
          <t>tall-rectangle-10ml-clear-13-415-finemist</t>
        </is>
      </c>
      <c r="K208" s="21" t="inlineStr">
        <is>
          <t>kh7eerayv4jwbs8vks86jmvjj583k28f</t>
        </is>
      </c>
      <c r="L208" s="21" t="inlineStr">
        <is>
          <t>GB-RCT-CLR-10ML-SPR-MBLK-02</t>
        </is>
      </c>
      <c r="M208" s="21" t="inlineStr">
        <is>
          <t>GBTallRect10SpryBlkMatt</t>
        </is>
      </c>
      <c r="N208" s="21" t="inlineStr">
        <is>
          <t>GBTallRect10SpryBlkMatt, GBTallRect10SpryBlkSh, GBTallRect10SpryBluMatt, GBTallRect10SpryCuMatt, GBTallRect10SpryGlMatt, GBTallRect10SpryGlSh, GBTallRect10SprySlMatt, GBTallRect10SprySlSh</t>
        </is>
      </c>
      <c r="O208" s="22" t="inlineStr">
        <is>
          <t>https://www.bestbottles.com/product/tall-rectangular-design-10-ml-glass-bottle-matte-black-spray</t>
        </is>
      </c>
      <c r="P208" s="23" t="inlineStr">
        <is>
          <t>No</t>
        </is>
      </c>
      <c r="Q208" s="21" t="n"/>
      <c r="R208" s="21" t="n">
        <v>8</v>
      </c>
      <c r="S208" s="21" t="n">
        <v>1.2</v>
      </c>
      <c r="T208" s="21" t="n">
        <v>1.2</v>
      </c>
      <c r="U208" s="21" t="n"/>
      <c r="V208" s="21" t="n"/>
      <c r="W208" s="21" t="n"/>
      <c r="X208" s="21" t="n"/>
    </row>
    <row r="209" ht="15" customHeight="1" s="19">
      <c r="A209" s="24" t="n">
        <v>208</v>
      </c>
      <c r="B209" s="24" t="inlineStr">
        <is>
          <t>Rectangle</t>
        </is>
      </c>
      <c r="C209" s="24" t="n">
        <v>10</v>
      </c>
      <c r="D209" s="24" t="inlineStr">
        <is>
          <t>Clear</t>
        </is>
      </c>
      <c r="E209" s="24" t="inlineStr">
        <is>
          <t>Metal Roller Ball, Plastic Roller Ball</t>
        </is>
      </c>
      <c r="F209" s="24" t="inlineStr">
        <is>
          <t>13-415</t>
        </is>
      </c>
      <c r="G209" s="24" t="inlineStr">
        <is>
          <t>10 ml Clear Footed Rectangle Roll-On Bottle</t>
        </is>
      </c>
      <c r="H209" s="24" t="inlineStr">
        <is>
          <t>Glass Bottle</t>
        </is>
      </c>
      <c r="I209" s="24" t="inlineStr">
        <is>
          <t>Rectangle</t>
        </is>
      </c>
      <c r="J209" s="24" t="inlineStr">
        <is>
          <t>footed-rectangle-10ml-clear-13-415-rollon</t>
        </is>
      </c>
      <c r="K209" s="24" t="inlineStr">
        <is>
          <t>kh739h861d0vc04ndx9fzcz7zs83jrcd</t>
        </is>
      </c>
      <c r="L209" s="24" t="inlineStr">
        <is>
          <t>GB-RCT-CLR-10ML-ROL-BKDT-01</t>
        </is>
      </c>
      <c r="M209" s="24" t="inlineStr">
        <is>
          <t>GBRect10RollBlkDot</t>
        </is>
      </c>
      <c r="N209" s="24" t="inlineStr">
        <is>
          <t>GBRect10RollBlkDot, GBRect10MtlRollBlkDot, GBRect10MtlRollBlkSh, GBRect10MtlRollCuMatt, GBRect10MtlRollGlMatt, GBRect10MtlRollGlSh, GBRect10MtlRollPinkDot, GBRect10MtlRollSlDot, GBRect10MtlRollSlMatt, GBRect10MtlRollSlSh, GBRect10RollBlkSh, GBRect10RollCuMatt, GBRect10RollGlMatt, GBRect10RollGlSh, GBRect10RollPinkDot, GBRect10RollSlDot, GBRect10RollSlMatt, GBRect10RollSlSh</t>
        </is>
      </c>
      <c r="O209" s="25" t="inlineStr">
        <is>
          <t>https://www.bestbottles.com/product/footed-rectangular-design-10-ml-bottle-plastic-roller-ball-plug-black-shiny-cap-with-dots</t>
        </is>
      </c>
      <c r="P209" s="23" t="inlineStr">
        <is>
          <t>No</t>
        </is>
      </c>
      <c r="Q209" s="24" t="n"/>
      <c r="R209" s="24" t="n">
        <v>18</v>
      </c>
      <c r="S209" s="24" t="n">
        <v>0.74</v>
      </c>
      <c r="T209" s="24" t="n">
        <v>0.87</v>
      </c>
      <c r="U209" s="24" t="n"/>
      <c r="V209" s="24" t="n"/>
      <c r="W209" s="24" t="n"/>
      <c r="X209" s="24" t="n"/>
    </row>
    <row r="210" ht="15" customHeight="1" s="19">
      <c r="A210" s="21" t="n">
        <v>209</v>
      </c>
      <c r="B210" s="21" t="inlineStr">
        <is>
          <t>Rectangle</t>
        </is>
      </c>
      <c r="C210" s="21" t="n">
        <v>10</v>
      </c>
      <c r="D210" s="21" t="inlineStr">
        <is>
          <t>Clear</t>
        </is>
      </c>
      <c r="E210" s="21" t="inlineStr">
        <is>
          <t>Metal Roller Ball, Plastic Roller Ball</t>
        </is>
      </c>
      <c r="F210" s="21" t="inlineStr">
        <is>
          <t>13-415</t>
        </is>
      </c>
      <c r="G210" s="21" t="inlineStr">
        <is>
          <t>10 ml Clear Tall Rectangle Roll-On Bottle</t>
        </is>
      </c>
      <c r="H210" s="21" t="inlineStr">
        <is>
          <t>Glass Bottle</t>
        </is>
      </c>
      <c r="I210" s="21" t="inlineStr">
        <is>
          <t>Rectangle</t>
        </is>
      </c>
      <c r="J210" s="21" t="inlineStr">
        <is>
          <t>tall-rectangle-10ml-clear-13-415-rollon</t>
        </is>
      </c>
      <c r="K210" s="21" t="inlineStr">
        <is>
          <t>kh76aczpj8en5cstqq8b38f80h83ken3</t>
        </is>
      </c>
      <c r="L210" s="21" t="inlineStr">
        <is>
          <t>GB-RCT-CLR-10ML-ROL-BKDT-02</t>
        </is>
      </c>
      <c r="M210" s="21" t="inlineStr">
        <is>
          <t>GBTallRect10RollBlkDot</t>
        </is>
      </c>
      <c r="N210" s="21" t="inlineStr">
        <is>
          <t>GBTallRect10RollBlkDot, GBTallRect10MtlRollBlkDot, GBTallRect10MtlRollBlkSh, GBTallRect10MtlRollCuMatt, GBTallRect10MtlRollGlMatt, GBTallRect10MtlRollGlSh, GBTallRect10MtlRollPinkDo, GBTallRect10MtlRollSlDot, GBTallRect10MtlRollSlMatt, GBTallRect10MtlRollSlSh, GBTallRect10RollBlkSh, GBTallRect10RollCuMatt, GBTallRect10RollGlMatt, GBTallRect10RollGlSh, GBTallRect10RollPinkDot, GBTallRect10RollSlDot, GBTallRect10RollSlMatt, GBTallRect10RollSlSh</t>
        </is>
      </c>
      <c r="O210" s="22" t="inlineStr">
        <is>
          <t>https://www.bestbottles.com/product/tall-rectangular-design-10-ml-glass-bottle-plastic-roller-ball-plug-black-shiny-cap-with-dots</t>
        </is>
      </c>
      <c r="P210" s="23" t="inlineStr">
        <is>
          <t>No</t>
        </is>
      </c>
      <c r="Q210" s="21" t="n"/>
      <c r="R210" s="21" t="n">
        <v>18</v>
      </c>
      <c r="S210" s="21" t="n">
        <v>0.97</v>
      </c>
      <c r="T210" s="21" t="n">
        <v>1.12</v>
      </c>
      <c r="U210" s="21" t="n"/>
      <c r="V210" s="21" t="n"/>
      <c r="W210" s="21" t="n"/>
      <c r="X210" s="21" t="n"/>
    </row>
    <row r="211" ht="15" customHeight="1" s="19">
      <c r="A211" s="24" t="n">
        <v>210</v>
      </c>
      <c r="B211" s="24" t="inlineStr">
        <is>
          <t>Round</t>
        </is>
      </c>
      <c r="C211" s="24" t="n">
        <v>78</v>
      </c>
      <c r="D211" s="24" t="inlineStr">
        <is>
          <t>Clear</t>
        </is>
      </c>
      <c r="E211" s="24" t="inlineStr">
        <is>
          <t>Lotion Pump</t>
        </is>
      </c>
      <c r="F211" s="24" t="inlineStr">
        <is>
          <t>18-415</t>
        </is>
      </c>
      <c r="G211" s="24" t="inlineStr">
        <is>
          <t>78 ml Clear Round Lotion Pump Bottle</t>
        </is>
      </c>
      <c r="H211" s="24" t="inlineStr">
        <is>
          <t>Glass Bottle</t>
        </is>
      </c>
      <c r="I211" s="24" t="inlineStr">
        <is>
          <t>Round</t>
        </is>
      </c>
      <c r="J211" s="24" t="inlineStr">
        <is>
          <t>round-78ml-clear-18-415-lotionpump</t>
        </is>
      </c>
      <c r="K211" s="24" t="inlineStr">
        <is>
          <t>kh736ejapj0cjn0ky5qr2yvgcd83kfa2</t>
        </is>
      </c>
      <c r="L211" s="24" t="n"/>
      <c r="M211" s="24" t="n"/>
      <c r="N211" s="24" t="n"/>
      <c r="O211" s="24" t="n"/>
      <c r="P211" s="23" t="inlineStr">
        <is>
          <t>No</t>
        </is>
      </c>
      <c r="Q211" s="24" t="n"/>
      <c r="R211" s="24" t="n">
        <v>7</v>
      </c>
      <c r="S211" s="24" t="n">
        <v>3.05</v>
      </c>
      <c r="T211" s="24" t="n">
        <v>3.05</v>
      </c>
      <c r="U211" s="24" t="n"/>
      <c r="V211" s="24" t="n"/>
      <c r="W211" s="24" t="n"/>
      <c r="X211" s="24" t="n"/>
    </row>
    <row r="212" ht="15" customHeight="1" s="19">
      <c r="A212" s="21" t="n">
        <v>211</v>
      </c>
      <c r="B212" s="21" t="inlineStr">
        <is>
          <t>Round</t>
        </is>
      </c>
      <c r="C212" s="21" t="n">
        <v>78</v>
      </c>
      <c r="D212" s="21" t="inlineStr">
        <is>
          <t>Clear</t>
        </is>
      </c>
      <c r="E212" s="21" t="inlineStr">
        <is>
          <t>Perfume Spray Pump</t>
        </is>
      </c>
      <c r="F212" s="21" t="inlineStr">
        <is>
          <t>18-415</t>
        </is>
      </c>
      <c r="G212" s="21" t="inlineStr">
        <is>
          <t>78 ml Clear Round Bottle</t>
        </is>
      </c>
      <c r="H212" s="21" t="inlineStr">
        <is>
          <t>Glass Bottle</t>
        </is>
      </c>
      <c r="I212" s="21" t="inlineStr">
        <is>
          <t>Round</t>
        </is>
      </c>
      <c r="J212" s="21" t="inlineStr">
        <is>
          <t>round-78ml-clear-18-415-perfumespray</t>
        </is>
      </c>
      <c r="K212" s="21" t="inlineStr">
        <is>
          <t>kh7aft7qbwb7fwyzqtc9p1h6cx83jevv</t>
        </is>
      </c>
      <c r="L212" s="21" t="inlineStr">
        <is>
          <t>GB-RND-CLR-78ML-SPR-CPR</t>
        </is>
      </c>
      <c r="M212" s="21" t="inlineStr">
        <is>
          <t>GBRnd78SpryCu</t>
        </is>
      </c>
      <c r="N212" s="21" t="inlineStr">
        <is>
          <t>GBRnd78SpryCu, GBRnd78SpryMtGl, GBRnd78SpryMtSl, GBRnd78SpryShnGl, GBRnd78SpryShnBlk, GBRnd78SpryShnSl</t>
        </is>
      </c>
      <c r="O212" s="22" t="inlineStr">
        <is>
          <t>https://www.bestbottles.com/product/round-design-78-ml-glass-bottle-matte-copper-spray-and-cap</t>
        </is>
      </c>
      <c r="P212" s="23" t="inlineStr">
        <is>
          <t>No</t>
        </is>
      </c>
      <c r="Q212" s="21" t="n"/>
      <c r="R212" s="21" t="n">
        <v>6</v>
      </c>
      <c r="S212" s="21" t="n">
        <v>3.05</v>
      </c>
      <c r="T212" s="21" t="n">
        <v>3.05</v>
      </c>
      <c r="U212" s="21" t="n"/>
      <c r="V212" s="21" t="n"/>
      <c r="W212" s="21" t="n"/>
      <c r="X212" s="21" t="n"/>
    </row>
    <row r="213" ht="15" customHeight="1" s="19">
      <c r="A213" s="24" t="n">
        <v>212</v>
      </c>
      <c r="B213" s="24" t="inlineStr">
        <is>
          <t>Round</t>
        </is>
      </c>
      <c r="C213" s="24" t="n">
        <v>78</v>
      </c>
      <c r="D213" s="24" t="inlineStr">
        <is>
          <t>Clear</t>
        </is>
      </c>
      <c r="E213" s="24" t="inlineStr">
        <is>
          <t>Reducer</t>
        </is>
      </c>
      <c r="F213" s="24" t="inlineStr">
        <is>
          <t>18-415</t>
        </is>
      </c>
      <c r="G213" s="24" t="inlineStr">
        <is>
          <t>78 ml Clear Round Reducer Bottle</t>
        </is>
      </c>
      <c r="H213" s="24" t="inlineStr">
        <is>
          <t>Glass Bottle</t>
        </is>
      </c>
      <c r="I213" s="24" t="inlineStr">
        <is>
          <t>Round</t>
        </is>
      </c>
      <c r="J213" s="24" t="inlineStr">
        <is>
          <t>round-78ml-clear-18-415-reducer</t>
        </is>
      </c>
      <c r="K213" s="24" t="inlineStr">
        <is>
          <t>kh70v18qnr9qn475n17tbdaan183j3vh</t>
        </is>
      </c>
      <c r="L213" s="24" t="inlineStr">
        <is>
          <t>GB-RND-CLR-78ML-RDC-BKLT</t>
        </is>
      </c>
      <c r="M213" s="24" t="inlineStr">
        <is>
          <t>GBRnd78RdcrBlkLthr</t>
        </is>
      </c>
      <c r="N213" s="24" t="inlineStr">
        <is>
          <t>GBRnd78RdcrBlkLthr</t>
        </is>
      </c>
      <c r="O213" s="25" t="inlineStr">
        <is>
          <t>https://www.bestbottles.com/product/round-design-78-ml-glass-bottle-reducer-black-faux-leather-cap</t>
        </is>
      </c>
      <c r="P213" s="23" t="inlineStr">
        <is>
          <t>No</t>
        </is>
      </c>
      <c r="Q213" s="24" t="n"/>
      <c r="R213" s="24" t="n">
        <v>12</v>
      </c>
      <c r="S213" s="24" t="n">
        <v>2.02</v>
      </c>
      <c r="T213" s="24" t="n">
        <v>2.3</v>
      </c>
      <c r="U213" s="24" t="n"/>
      <c r="V213" s="24" t="n"/>
      <c r="W213" s="24" t="n"/>
      <c r="X213" s="24" t="n"/>
    </row>
    <row r="214" ht="15" customHeight="1" s="19">
      <c r="A214" s="21" t="n">
        <v>213</v>
      </c>
      <c r="B214" s="21" t="inlineStr">
        <is>
          <t>Round</t>
        </is>
      </c>
      <c r="C214" s="21" t="n">
        <v>78</v>
      </c>
      <c r="D214" s="21" t="inlineStr">
        <is>
          <t>Clear</t>
        </is>
      </c>
      <c r="E214" s="21" t="inlineStr">
        <is>
          <t>Vintage Bulb Sprayer</t>
        </is>
      </c>
      <c r="F214" s="21" t="inlineStr">
        <is>
          <t>18-415</t>
        </is>
      </c>
      <c r="G214" s="21" t="inlineStr">
        <is>
          <t>78 ml Clear Round Vintage Bulb Spray Bottle</t>
        </is>
      </c>
      <c r="H214" s="21" t="inlineStr">
        <is>
          <t>Glass Bottle</t>
        </is>
      </c>
      <c r="I214" s="21" t="inlineStr">
        <is>
          <t>Round</t>
        </is>
      </c>
      <c r="J214" s="21" t="inlineStr">
        <is>
          <t>round-78ml-clear-18-415-antiquespray</t>
        </is>
      </c>
      <c r="K214" s="21" t="inlineStr">
        <is>
          <t>kh728wryxp4g6bmphcz39xbhr183k22q</t>
        </is>
      </c>
      <c r="L214" s="21" t="inlineStr">
        <is>
          <t>GB-RND-CLR-78ML-ASP-PNK</t>
        </is>
      </c>
      <c r="M214" s="21" t="inlineStr">
        <is>
          <t>GBRnd78AnSpPnk</t>
        </is>
      </c>
      <c r="N214" s="21" t="inlineStr">
        <is>
          <t>GBRnd78AnSpPnk, GBRnd78AnSpLvn, GBRnd78AnSpIvyGl, GBRnd78AnSpGl, GBRnd78AnSpIvySl, GBRnd78AnSpRed, GBRnd78AnSpMtSl, GBRnd78AnSpWht, GBRnd78AnSpBlk</t>
        </is>
      </c>
      <c r="O214" s="22" t="inlineStr">
        <is>
          <t>https://www.bestbottles.com/product/round-design-78-ml-glass-bottle-pink-vintage-style-bulb-sprayer-shiny-gold-collar-cap</t>
        </is>
      </c>
      <c r="P214" s="23" t="inlineStr">
        <is>
          <t>No</t>
        </is>
      </c>
      <c r="Q214" s="21" t="n"/>
      <c r="R214" s="21" t="n">
        <v>9</v>
      </c>
      <c r="S214" s="21" t="n">
        <v>5.9</v>
      </c>
      <c r="T214" s="21" t="n">
        <v>5.9</v>
      </c>
      <c r="U214" s="21" t="n"/>
      <c r="V214" s="21" t="n"/>
      <c r="W214" s="21" t="n"/>
      <c r="X214" s="21" t="n"/>
    </row>
    <row r="215" ht="15" customHeight="1" s="19">
      <c r="A215" s="24" t="n">
        <v>214</v>
      </c>
      <c r="B215" s="24" t="inlineStr">
        <is>
          <t>Round</t>
        </is>
      </c>
      <c r="C215" s="24" t="n">
        <v>78</v>
      </c>
      <c r="D215" s="24" t="inlineStr">
        <is>
          <t>Clear</t>
        </is>
      </c>
      <c r="E215" s="24" t="inlineStr">
        <is>
          <t>Vintage Bulb Sprayer with Tassel</t>
        </is>
      </c>
      <c r="F215" s="24" t="inlineStr">
        <is>
          <t>18-415</t>
        </is>
      </c>
      <c r="G215" s="24" t="inlineStr">
        <is>
          <t>78 ml Clear Round Vintage Bulb Spray Bottle with Tassel</t>
        </is>
      </c>
      <c r="H215" s="24" t="inlineStr">
        <is>
          <t>Glass Bottle</t>
        </is>
      </c>
      <c r="I215" s="24" t="inlineStr">
        <is>
          <t>Round</t>
        </is>
      </c>
      <c r="J215" s="24" t="inlineStr">
        <is>
          <t>round-78ml-clear-18-415-antiquespray-tassel</t>
        </is>
      </c>
      <c r="K215" s="24" t="inlineStr">
        <is>
          <t>kh71t31t5frkjqqkhvhpxs7tth83j3f5</t>
        </is>
      </c>
      <c r="L215" s="24" t="inlineStr">
        <is>
          <t>GB-RND-CLR-78ML-AST-GLD</t>
        </is>
      </c>
      <c r="M215" s="24" t="inlineStr">
        <is>
          <t>GBRnd78AnSpTslGl</t>
        </is>
      </c>
      <c r="N215" s="24" t="inlineStr">
        <is>
          <t>GBRnd78AnSpTslGl, GBRnd78AnSpTslIvyGl, GBRnd78AnSpTslLvn, GBRnd78AnSpTslWht, GBRnd78AnSpTslPnk, GBRnd78AnSpTslRed, GBRnd78AnSpTslMtSl, GBRnd78AnSpTslIvySl</t>
        </is>
      </c>
      <c r="O215" s="25" t="inlineStr">
        <is>
          <t>https://www.bestbottles.com/product/round-design-78-ml-glass-bottle-gold-vintage-style-sprayer-with-tassel-shiny-gold-collar</t>
        </is>
      </c>
      <c r="P215" s="23" t="inlineStr">
        <is>
          <t>No</t>
        </is>
      </c>
      <c r="Q215" s="24" t="n"/>
      <c r="R215" s="24" t="n">
        <v>9</v>
      </c>
      <c r="S215" s="24" t="n">
        <v>6.65</v>
      </c>
      <c r="T215" s="24" t="n">
        <v>6.65</v>
      </c>
      <c r="U215" s="24" t="n"/>
      <c r="V215" s="24" t="n"/>
      <c r="W215" s="24" t="n"/>
      <c r="X215" s="24" t="n"/>
    </row>
    <row r="216" ht="15" customHeight="1" s="19">
      <c r="A216" s="21" t="n">
        <v>215</v>
      </c>
      <c r="B216" s="21" t="inlineStr">
        <is>
          <t>Round</t>
        </is>
      </c>
      <c r="C216" s="21" t="n">
        <v>78</v>
      </c>
      <c r="D216" s="21" t="inlineStr">
        <is>
          <t>Frosted</t>
        </is>
      </c>
      <c r="E216" s="21" t="inlineStr">
        <is>
          <t>Lotion Pump</t>
        </is>
      </c>
      <c r="F216" s="21" t="inlineStr">
        <is>
          <t>18-415</t>
        </is>
      </c>
      <c r="G216" s="21" t="inlineStr">
        <is>
          <t>78 ml Frosted Round Lotion Pump Bottle</t>
        </is>
      </c>
      <c r="H216" s="21" t="inlineStr">
        <is>
          <t>Glass Bottle</t>
        </is>
      </c>
      <c r="I216" s="21" t="inlineStr">
        <is>
          <t>Round</t>
        </is>
      </c>
      <c r="J216" s="21" t="inlineStr">
        <is>
          <t>round-78ml-frosted-18-415-lotionpump</t>
        </is>
      </c>
      <c r="K216" s="21" t="inlineStr">
        <is>
          <t>kh75akkwyn53ks0ddf4h53c6dx83kgyb</t>
        </is>
      </c>
      <c r="L216" s="21" t="n"/>
      <c r="M216" s="21" t="n"/>
      <c r="N216" s="21" t="n"/>
      <c r="O216" s="21" t="n"/>
      <c r="P216" s="23" t="inlineStr">
        <is>
          <t>No</t>
        </is>
      </c>
      <c r="Q216" s="21" t="n"/>
      <c r="R216" s="21" t="n">
        <v>7</v>
      </c>
      <c r="S216" s="21" t="n">
        <v>3.55</v>
      </c>
      <c r="T216" s="21" t="n">
        <v>3.55</v>
      </c>
      <c r="U216" s="21" t="n"/>
      <c r="V216" s="21" t="n"/>
      <c r="W216" s="21" t="n"/>
      <c r="X216" s="21" t="n"/>
    </row>
    <row r="217" ht="15" customHeight="1" s="19">
      <c r="A217" s="24" t="n">
        <v>216</v>
      </c>
      <c r="B217" s="24" t="inlineStr">
        <is>
          <t>Round</t>
        </is>
      </c>
      <c r="C217" s="24" t="n">
        <v>78</v>
      </c>
      <c r="D217" s="24" t="inlineStr">
        <is>
          <t>Frosted</t>
        </is>
      </c>
      <c r="E217" s="24" t="inlineStr">
        <is>
          <t>Perfume Spray Pump</t>
        </is>
      </c>
      <c r="F217" s="24" t="inlineStr">
        <is>
          <t>18-415</t>
        </is>
      </c>
      <c r="G217" s="24" t="inlineStr">
        <is>
          <t>78 ml Frosted Round Bottle</t>
        </is>
      </c>
      <c r="H217" s="24" t="inlineStr">
        <is>
          <t>Glass Bottle</t>
        </is>
      </c>
      <c r="I217" s="24" t="inlineStr">
        <is>
          <t>Round</t>
        </is>
      </c>
      <c r="J217" s="24" t="inlineStr">
        <is>
          <t>round-78ml-frosted-18-415-perfumespray</t>
        </is>
      </c>
      <c r="K217" s="24" t="inlineStr">
        <is>
          <t>kh7fh5tqfa9my8yeew1fckp60d83jb32</t>
        </is>
      </c>
      <c r="L217" s="24" t="inlineStr">
        <is>
          <t>GB-RND-FRS-78ML-SPR-CPR</t>
        </is>
      </c>
      <c r="M217" s="24" t="inlineStr">
        <is>
          <t>GBRndFrst78SpryCu</t>
        </is>
      </c>
      <c r="N217" s="24" t="inlineStr">
        <is>
          <t>GBRndFrst78SpryCu, GBRndFrst78SpryShnGl, GBRndFrst78SpryMtSl, GBRndFrst78SpryShnSl, GBRndFrst78SpryShnBlk, GBRndFrst78SpryMtGl</t>
        </is>
      </c>
      <c r="O217" s="25" t="inlineStr">
        <is>
          <t>https://www.bestbottles.com/product/round-design-78-ml-frosted-glass-bottle-matte-copper-spray-and-cap</t>
        </is>
      </c>
      <c r="P217" s="23" t="inlineStr">
        <is>
          <t>No</t>
        </is>
      </c>
      <c r="Q217" s="24" t="n"/>
      <c r="R217" s="24" t="n">
        <v>6</v>
      </c>
      <c r="S217" s="24" t="n">
        <v>3.55</v>
      </c>
      <c r="T217" s="24" t="n">
        <v>3.55</v>
      </c>
      <c r="U217" s="24" t="n"/>
      <c r="V217" s="24" t="n"/>
      <c r="W217" s="24" t="n"/>
      <c r="X217" s="24" t="n"/>
    </row>
    <row r="218" ht="15" customHeight="1" s="19">
      <c r="A218" s="21" t="n">
        <v>217</v>
      </c>
      <c r="B218" s="21" t="inlineStr">
        <is>
          <t>Round</t>
        </is>
      </c>
      <c r="C218" s="21" t="n">
        <v>78</v>
      </c>
      <c r="D218" s="21" t="inlineStr">
        <is>
          <t>Frosted</t>
        </is>
      </c>
      <c r="E218" s="21" t="inlineStr">
        <is>
          <t>Reducer</t>
        </is>
      </c>
      <c r="F218" s="21" t="inlineStr">
        <is>
          <t>18-415</t>
        </is>
      </c>
      <c r="G218" s="21" t="inlineStr">
        <is>
          <t>78 ml Frosted Round Reducer Bottle</t>
        </is>
      </c>
      <c r="H218" s="21" t="inlineStr">
        <is>
          <t>Glass Bottle</t>
        </is>
      </c>
      <c r="I218" s="21" t="inlineStr">
        <is>
          <t>Round</t>
        </is>
      </c>
      <c r="J218" s="21" t="inlineStr">
        <is>
          <t>round-78ml-frosted-18-415-reducer</t>
        </is>
      </c>
      <c r="K218" s="21" t="inlineStr">
        <is>
          <t>kh75ft9jr72fvjnrbhxw4z160x83jazc</t>
        </is>
      </c>
      <c r="L218" s="21" t="inlineStr">
        <is>
          <t>GB-RND-FRS-78ML-RDC-MSLV-T</t>
        </is>
      </c>
      <c r="M218" s="21" t="inlineStr">
        <is>
          <t>GBRndFrst78RdcrMtSlTall</t>
        </is>
      </c>
      <c r="N218" s="21" t="inlineStr">
        <is>
          <t>GBRndFrst78RdcrMtSlTall, GBRndFrst78RdcrMtSl, GBRndFrst78RdcrWht, GBRndFrst78RdcrIvyLthr, GBRndFrst78RdcrPnkLthr, GBRndFrst78RdcrBlkLthr</t>
        </is>
      </c>
      <c r="O218" s="22" t="inlineStr">
        <is>
          <t>https://www.bestbottles.com/product/round-design-78-ml-frosted-glass-bottle-reducer-tall-silver-matte-cap</t>
        </is>
      </c>
      <c r="P218" s="23" t="inlineStr">
        <is>
          <t>No</t>
        </is>
      </c>
      <c r="Q218" s="21" t="n"/>
      <c r="R218" s="21" t="n">
        <v>12</v>
      </c>
      <c r="S218" s="21" t="n">
        <v>2.52</v>
      </c>
      <c r="T218" s="21" t="n">
        <v>2.8</v>
      </c>
      <c r="U218" s="21" t="n"/>
      <c r="V218" s="21" t="n"/>
      <c r="W218" s="21" t="n"/>
      <c r="X218" s="21" t="n"/>
    </row>
    <row r="219" ht="15" customHeight="1" s="19">
      <c r="A219" s="24" t="n">
        <v>218</v>
      </c>
      <c r="B219" s="24" t="inlineStr">
        <is>
          <t>Round</t>
        </is>
      </c>
      <c r="C219" s="24" t="n">
        <v>78</v>
      </c>
      <c r="D219" s="24" t="inlineStr">
        <is>
          <t>Frosted</t>
        </is>
      </c>
      <c r="E219" s="24" t="inlineStr">
        <is>
          <t>Vintage Bulb Sprayer</t>
        </is>
      </c>
      <c r="F219" s="24" t="inlineStr">
        <is>
          <t>18-415</t>
        </is>
      </c>
      <c r="G219" s="24" t="inlineStr">
        <is>
          <t>78 ml Frosted Round Vintage Bulb Spray Bottle</t>
        </is>
      </c>
      <c r="H219" s="24" t="inlineStr">
        <is>
          <t>Glass Bottle</t>
        </is>
      </c>
      <c r="I219" s="24" t="inlineStr">
        <is>
          <t>Round</t>
        </is>
      </c>
      <c r="J219" s="24" t="inlineStr">
        <is>
          <t>round-78ml-frosted-18-415-antiquespray</t>
        </is>
      </c>
      <c r="K219" s="24" t="inlineStr">
        <is>
          <t>kh7fat74gepbtg7wkkaag73tpn83jft0</t>
        </is>
      </c>
      <c r="L219" s="24" t="inlineStr">
        <is>
          <t>GB-RND-FRS-78ML-ASP-GLD</t>
        </is>
      </c>
      <c r="M219" s="24" t="inlineStr">
        <is>
          <t>GBRndFrst78AnSpGl</t>
        </is>
      </c>
      <c r="N219" s="24" t="inlineStr">
        <is>
          <t>GBRndFrst78AnSpGl, GBRndFrst78AnSpIvyGl, GBRndFrst78AnSpIvySl, GBRndFrst78AnSpPnk, GBRndFrst78AnSpLvn, GBRndFrst78AnSpRed, GBRndFrst78AnSpMtSl, GBRndFrst78AnSpWht</t>
        </is>
      </c>
      <c r="O219" s="25" t="inlineStr">
        <is>
          <t>https://www.bestbottles.com/product/round-design-78-ml-frosted-glass-bottle-gold-vintage-style-sprayer-shiny-gold-collar-cap</t>
        </is>
      </c>
      <c r="P219" s="23" t="inlineStr">
        <is>
          <t>No</t>
        </is>
      </c>
      <c r="Q219" s="24" t="n"/>
      <c r="R219" s="24" t="n">
        <v>9</v>
      </c>
      <c r="S219" s="24" t="n">
        <v>6.4</v>
      </c>
      <c r="T219" s="24" t="n">
        <v>6.4</v>
      </c>
      <c r="U219" s="24" t="n"/>
      <c r="V219" s="24" t="n"/>
      <c r="W219" s="24" t="n"/>
      <c r="X219" s="24" t="n"/>
    </row>
    <row r="220" ht="15" customHeight="1" s="19">
      <c r="A220" s="21" t="n">
        <v>219</v>
      </c>
      <c r="B220" s="21" t="inlineStr">
        <is>
          <t>Round</t>
        </is>
      </c>
      <c r="C220" s="21" t="n">
        <v>78</v>
      </c>
      <c r="D220" s="21" t="inlineStr">
        <is>
          <t>Frosted</t>
        </is>
      </c>
      <c r="E220" s="21" t="inlineStr">
        <is>
          <t>Vintage Bulb Sprayer with Tassel</t>
        </is>
      </c>
      <c r="F220" s="21" t="inlineStr">
        <is>
          <t>18-415</t>
        </is>
      </c>
      <c r="G220" s="21" t="inlineStr">
        <is>
          <t>78 ml Frosted Round Vintage Bulb Spray Bottle with Tassel</t>
        </is>
      </c>
      <c r="H220" s="21" t="inlineStr">
        <is>
          <t>Glass Bottle</t>
        </is>
      </c>
      <c r="I220" s="21" t="inlineStr">
        <is>
          <t>Round</t>
        </is>
      </c>
      <c r="J220" s="21" t="inlineStr">
        <is>
          <t>round-78ml-frosted-18-415-antiquespray-tassel</t>
        </is>
      </c>
      <c r="K220" s="21" t="inlineStr">
        <is>
          <t>kh7db8hkkgxaa3v5dz58bvf9nh83jk6t</t>
        </is>
      </c>
      <c r="L220" s="21" t="inlineStr">
        <is>
          <t>GB-RND-FRS-78ML-AST-GLD</t>
        </is>
      </c>
      <c r="M220" s="21" t="inlineStr">
        <is>
          <t>GBRndFrst78AnSpTslGl</t>
        </is>
      </c>
      <c r="N220" s="21" t="inlineStr">
        <is>
          <t>GBRndFrst78AnSpTslGl, GBRndFrst78AnSpTslIvyGl</t>
        </is>
      </c>
      <c r="O220" s="22" t="inlineStr">
        <is>
          <t>https://www.bestbottles.com/product/round-design-78-ml-frosted-glass-bottle-gold-vintage-style-sprayer-with-tassel-shiny-gold-collar</t>
        </is>
      </c>
      <c r="P220" s="23" t="inlineStr">
        <is>
          <t>No</t>
        </is>
      </c>
      <c r="Q220" s="21" t="n"/>
      <c r="R220" s="21" t="n">
        <v>9</v>
      </c>
      <c r="S220" s="21" t="n">
        <v>7.15</v>
      </c>
      <c r="T220" s="21" t="n">
        <v>7.15</v>
      </c>
      <c r="U220" s="21" t="n"/>
      <c r="V220" s="21" t="n"/>
      <c r="W220" s="21" t="n"/>
      <c r="X220" s="21" t="n"/>
    </row>
    <row r="221" ht="15" customHeight="1" s="19">
      <c r="A221" s="24" t="n">
        <v>220</v>
      </c>
      <c r="B221" s="24" t="inlineStr">
        <is>
          <t>Round</t>
        </is>
      </c>
      <c r="C221" s="24" t="n">
        <v>128</v>
      </c>
      <c r="D221" s="24" t="inlineStr">
        <is>
          <t>Clear</t>
        </is>
      </c>
      <c r="E221" s="24" t="inlineStr">
        <is>
          <t>Dropper</t>
        </is>
      </c>
      <c r="F221" s="24" t="inlineStr">
        <is>
          <t>18-415</t>
        </is>
      </c>
      <c r="G221" s="24" t="inlineStr">
        <is>
          <t>128 ml Clear Round Dropper Bottle</t>
        </is>
      </c>
      <c r="H221" s="24" t="inlineStr">
        <is>
          <t>Glass Bottle</t>
        </is>
      </c>
      <c r="I221" s="24" t="inlineStr">
        <is>
          <t>Round</t>
        </is>
      </c>
      <c r="J221" s="24" t="inlineStr">
        <is>
          <t>round-128ml-clear-18-415-dropper</t>
        </is>
      </c>
      <c r="K221" s="24" t="inlineStr">
        <is>
          <t>kh7byc98xddq04y46ysy9dxghx83kq4r</t>
        </is>
      </c>
      <c r="L221" s="24" t="inlineStr">
        <is>
          <t>GB-RND-CLR-128ML-DRP-SLV</t>
        </is>
      </c>
      <c r="M221" s="24" t="inlineStr">
        <is>
          <t>GBRnd128DrpSl</t>
        </is>
      </c>
      <c r="N221" s="24" t="inlineStr">
        <is>
          <t>GBRnd128DrpSl, GBRnd128DrpGl</t>
        </is>
      </c>
      <c r="O221" s="25" t="inlineStr">
        <is>
          <t>https://www.bestbottles.com/product/round-design-128-ml-glass-bottle-white-dropper-shiny-silver-collar-cap</t>
        </is>
      </c>
      <c r="P221" s="23" t="inlineStr">
        <is>
          <t>No</t>
        </is>
      </c>
      <c r="Q221" s="24" t="n"/>
      <c r="R221" s="24" t="n">
        <v>3</v>
      </c>
      <c r="S221" s="24" t="n">
        <v>2.2</v>
      </c>
      <c r="T221" s="24" t="n">
        <v>2.2</v>
      </c>
      <c r="U221" s="24" t="n"/>
      <c r="V221" s="24" t="n"/>
      <c r="W221" s="24" t="n"/>
      <c r="X221" s="24" t="n"/>
    </row>
    <row r="222" ht="15" customHeight="1" s="19">
      <c r="A222" s="21" t="n">
        <v>221</v>
      </c>
      <c r="B222" s="21" t="inlineStr">
        <is>
          <t>Round</t>
        </is>
      </c>
      <c r="C222" s="21" t="n">
        <v>128</v>
      </c>
      <c r="D222" s="21" t="inlineStr">
        <is>
          <t>Clear</t>
        </is>
      </c>
      <c r="E222" s="21" t="inlineStr">
        <is>
          <t>Lotion Pump</t>
        </is>
      </c>
      <c r="F222" s="21" t="inlineStr">
        <is>
          <t>18-415</t>
        </is>
      </c>
      <c r="G222" s="21" t="inlineStr">
        <is>
          <t>128 ml Clear Round Lotion Pump Bottle</t>
        </is>
      </c>
      <c r="H222" s="21" t="inlineStr">
        <is>
          <t>Glass Bottle</t>
        </is>
      </c>
      <c r="I222" s="21" t="inlineStr">
        <is>
          <t>Round</t>
        </is>
      </c>
      <c r="J222" s="21" t="inlineStr">
        <is>
          <t>round-128ml-clear-18-415-lotionpump</t>
        </is>
      </c>
      <c r="K222" s="21" t="inlineStr">
        <is>
          <t>kh7dygpdyv5mqwjnhf227j454x83k6n6</t>
        </is>
      </c>
      <c r="L222" s="21" t="inlineStr">
        <is>
          <t>LB-RND-CLR-128ML-LPM-SGLD</t>
        </is>
      </c>
      <c r="M222" s="21" t="inlineStr">
        <is>
          <t>LBRnd128LtnShnGl</t>
        </is>
      </c>
      <c r="N222" s="21" t="inlineStr">
        <is>
          <t>LBRnd128LtnShnGl, LBRnd128LtnMtSl, LBRnd128LtnClOvrCap, LBRnd128LtnCu, LBRnd128LtnMtGl, LBRnd128LtnShnBlk, LBRnd128LtnShnSl</t>
        </is>
      </c>
      <c r="O222" s="22" t="inlineStr">
        <is>
          <t>https://www.bestbottles.com/product/round-design-128-ml-glass-bottle-shiny-gold-lotion-pump-and-cap</t>
        </is>
      </c>
      <c r="P222" s="23" t="inlineStr">
        <is>
          <t>No</t>
        </is>
      </c>
      <c r="Q222" s="21" t="n"/>
      <c r="R222" s="21" t="n">
        <v>7</v>
      </c>
      <c r="S222" s="21" t="n">
        <v>3.05</v>
      </c>
      <c r="T222" s="21" t="n">
        <v>3.05</v>
      </c>
      <c r="U222" s="21" t="n"/>
      <c r="V222" s="21" t="n"/>
      <c r="W222" s="21" t="n"/>
      <c r="X222" s="21" t="n"/>
    </row>
    <row r="223" ht="15" customHeight="1" s="19">
      <c r="A223" s="24" t="n">
        <v>222</v>
      </c>
      <c r="B223" s="24" t="inlineStr">
        <is>
          <t>Round</t>
        </is>
      </c>
      <c r="C223" s="24" t="n">
        <v>128</v>
      </c>
      <c r="D223" s="24" t="inlineStr">
        <is>
          <t>Clear</t>
        </is>
      </c>
      <c r="E223" s="24" t="inlineStr">
        <is>
          <t>Perfume Spray Pump</t>
        </is>
      </c>
      <c r="F223" s="24" t="inlineStr">
        <is>
          <t>18-415</t>
        </is>
      </c>
      <c r="G223" s="24" t="inlineStr">
        <is>
          <t>128 ml Clear Round Bottle</t>
        </is>
      </c>
      <c r="H223" s="24" t="inlineStr">
        <is>
          <t>Glass Bottle</t>
        </is>
      </c>
      <c r="I223" s="24" t="inlineStr">
        <is>
          <t>Round</t>
        </is>
      </c>
      <c r="J223" s="24" t="inlineStr">
        <is>
          <t>round-128ml-clear-18-415-perfumespray</t>
        </is>
      </c>
      <c r="K223" s="24" t="inlineStr">
        <is>
          <t>kh7dav7kyqdwnqgnxc9j4sk16n83jm43</t>
        </is>
      </c>
      <c r="L223" s="24" t="inlineStr">
        <is>
          <t>GB-RND-CLR-128ML-SPR-CPR</t>
        </is>
      </c>
      <c r="M223" s="24" t="inlineStr">
        <is>
          <t>GBRnd128SpryCu</t>
        </is>
      </c>
      <c r="N223" s="24" t="inlineStr">
        <is>
          <t>GBRnd128SpryCu</t>
        </is>
      </c>
      <c r="O223" s="25" t="inlineStr">
        <is>
          <t>https://www.bestbottles.com/product/round-design-128-ml-glass-bottle-matte-copper-spray-and-cap</t>
        </is>
      </c>
      <c r="P223" s="23" t="inlineStr">
        <is>
          <t>No</t>
        </is>
      </c>
      <c r="Q223" s="24" t="n"/>
      <c r="R223" s="24" t="n">
        <v>6</v>
      </c>
      <c r="S223" s="24" t="n">
        <v>3.05</v>
      </c>
      <c r="T223" s="24" t="n">
        <v>3.05</v>
      </c>
      <c r="U223" s="24" t="n"/>
      <c r="V223" s="24" t="n"/>
      <c r="W223" s="24" t="n"/>
      <c r="X223" s="24" t="n"/>
    </row>
    <row r="224" ht="15" customHeight="1" s="19">
      <c r="A224" s="21" t="n">
        <v>223</v>
      </c>
      <c r="B224" s="21" t="inlineStr">
        <is>
          <t>Round</t>
        </is>
      </c>
      <c r="C224" s="21" t="n">
        <v>128</v>
      </c>
      <c r="D224" s="21" t="inlineStr">
        <is>
          <t>Clear</t>
        </is>
      </c>
      <c r="E224" s="21" t="inlineStr">
        <is>
          <t>Reducer</t>
        </is>
      </c>
      <c r="F224" s="21" t="inlineStr">
        <is>
          <t>18-415</t>
        </is>
      </c>
      <c r="G224" s="21" t="inlineStr">
        <is>
          <t>128 ml Clear Round Reducer Bottle</t>
        </is>
      </c>
      <c r="H224" s="21" t="inlineStr">
        <is>
          <t>Glass Bottle</t>
        </is>
      </c>
      <c r="I224" s="21" t="inlineStr">
        <is>
          <t>Round</t>
        </is>
      </c>
      <c r="J224" s="21" t="inlineStr">
        <is>
          <t>round-128ml-clear-18-415-reducer</t>
        </is>
      </c>
      <c r="K224" s="21" t="inlineStr">
        <is>
          <t>kh7799nr6deqpc3y19mn7m42v183kvjm</t>
        </is>
      </c>
      <c r="L224" s="21" t="inlineStr">
        <is>
          <t>GB-RND-CLR-128ML-RDC-IVLT</t>
        </is>
      </c>
      <c r="M224" s="21" t="inlineStr">
        <is>
          <t>GBRnd128RdcrIvyLthr</t>
        </is>
      </c>
      <c r="N224" s="21" t="inlineStr">
        <is>
          <t>GBRnd128RdcrIvyLthr, GBRnd128RdcrShnGl, GBRnd128RdcrShnBlkTall, GBRnd128RdcrShnBlk, GBRnd128RdcrBrwnLthr, GBRnd128RdcrLBrwnLthr, GBRnd128RdcrShnSl, GBRnd128RdcrMtSlTall, GBRnd128RdcrMtSl, GBRnd128RdcrWht, GBRnd128RdcrBlkLthr, GBRnd128RdcrPnkLthr</t>
        </is>
      </c>
      <c r="O224" s="22" t="inlineStr">
        <is>
          <t>https://www.bestbottles.com/product/round-design-128-ml-glass-bottle-reducer-ivory-faux-leather-cap</t>
        </is>
      </c>
      <c r="P224" s="23" t="inlineStr">
        <is>
          <t>No</t>
        </is>
      </c>
      <c r="Q224" s="21" t="n"/>
      <c r="R224" s="21" t="n">
        <v>12</v>
      </c>
      <c r="S224" s="21" t="n">
        <v>2.02</v>
      </c>
      <c r="T224" s="21" t="n">
        <v>2.3</v>
      </c>
      <c r="U224" s="21" t="n"/>
      <c r="V224" s="21" t="n"/>
      <c r="W224" s="21" t="n"/>
      <c r="X224" s="21" t="n"/>
    </row>
    <row r="225" ht="15" customHeight="1" s="19">
      <c r="A225" s="24" t="n">
        <v>224</v>
      </c>
      <c r="B225" s="24" t="inlineStr">
        <is>
          <t>Round</t>
        </is>
      </c>
      <c r="C225" s="24" t="n">
        <v>128</v>
      </c>
      <c r="D225" s="24" t="inlineStr">
        <is>
          <t>Clear</t>
        </is>
      </c>
      <c r="E225" s="24" t="inlineStr">
        <is>
          <t>Vintage Bulb Sprayer</t>
        </is>
      </c>
      <c r="F225" s="24" t="inlineStr">
        <is>
          <t>18-415</t>
        </is>
      </c>
      <c r="G225" s="24" t="inlineStr">
        <is>
          <t>128 ml Clear Round Vintage Bulb Spray Bottle</t>
        </is>
      </c>
      <c r="H225" s="24" t="inlineStr">
        <is>
          <t>Glass Bottle</t>
        </is>
      </c>
      <c r="I225" s="24" t="inlineStr">
        <is>
          <t>Round</t>
        </is>
      </c>
      <c r="J225" s="24" t="inlineStr">
        <is>
          <t>round-128ml-clear-18-415-antiquespray</t>
        </is>
      </c>
      <c r="K225" s="24" t="inlineStr">
        <is>
          <t>kh7cc4b7af5248jhhvnrp3nr4183jkfq</t>
        </is>
      </c>
      <c r="L225" s="24" t="n"/>
      <c r="M225" s="24" t="n"/>
      <c r="N225" s="24" t="n"/>
      <c r="O225" s="24" t="n"/>
      <c r="P225" s="23" t="inlineStr">
        <is>
          <t>No</t>
        </is>
      </c>
      <c r="Q225" s="24" t="n"/>
      <c r="R225" s="24" t="n">
        <v>9</v>
      </c>
      <c r="S225" s="24" t="n">
        <v>5.9</v>
      </c>
      <c r="T225" s="24" t="n">
        <v>5.9</v>
      </c>
      <c r="U225" s="24" t="n"/>
      <c r="V225" s="24" t="n"/>
      <c r="W225" s="24" t="n"/>
      <c r="X225" s="24" t="n"/>
    </row>
    <row r="226" ht="15" customHeight="1" s="19">
      <c r="A226" s="21" t="n">
        <v>225</v>
      </c>
      <c r="B226" s="21" t="inlineStr">
        <is>
          <t>Round</t>
        </is>
      </c>
      <c r="C226" s="21" t="n">
        <v>128</v>
      </c>
      <c r="D226" s="21" t="inlineStr">
        <is>
          <t>Clear</t>
        </is>
      </c>
      <c r="E226" s="21" t="inlineStr">
        <is>
          <t>Vintage Bulb Sprayer with Tassel</t>
        </is>
      </c>
      <c r="F226" s="21" t="inlineStr">
        <is>
          <t>18-415</t>
        </is>
      </c>
      <c r="G226" s="21" t="inlineStr">
        <is>
          <t>128 ml Clear Round Vintage Bulb Spray Bottle with Tassel</t>
        </is>
      </c>
      <c r="H226" s="21" t="inlineStr">
        <is>
          <t>Glass Bottle</t>
        </is>
      </c>
      <c r="I226" s="21" t="inlineStr">
        <is>
          <t>Round</t>
        </is>
      </c>
      <c r="J226" s="21" t="inlineStr">
        <is>
          <t>round-128ml-clear-18-415-antiquespray-tassel</t>
        </is>
      </c>
      <c r="K226" s="21" t="inlineStr">
        <is>
          <t>kh76yypd4m4x54k8enanf3chw583jgx7</t>
        </is>
      </c>
      <c r="L226" s="21" t="n"/>
      <c r="M226" s="21" t="n"/>
      <c r="N226" s="21" t="n"/>
      <c r="O226" s="21" t="n"/>
      <c r="P226" s="23" t="inlineStr">
        <is>
          <t>No</t>
        </is>
      </c>
      <c r="Q226" s="21" t="n"/>
      <c r="R226" s="21" t="n">
        <v>9</v>
      </c>
      <c r="S226" s="21" t="n">
        <v>6.65</v>
      </c>
      <c r="T226" s="21" t="n">
        <v>6.65</v>
      </c>
      <c r="U226" s="21" t="n"/>
      <c r="V226" s="21" t="n"/>
      <c r="W226" s="21" t="n"/>
      <c r="X226" s="21" t="n"/>
    </row>
    <row r="227" ht="15" customHeight="1" s="19">
      <c r="A227" s="24" t="n">
        <v>226</v>
      </c>
      <c r="B227" s="24" t="inlineStr">
        <is>
          <t>Round</t>
        </is>
      </c>
      <c r="C227" s="24" t="n">
        <v>128</v>
      </c>
      <c r="D227" s="24" t="inlineStr">
        <is>
          <t>Frosted</t>
        </is>
      </c>
      <c r="E227" s="24" t="inlineStr">
        <is>
          <t>Dropper</t>
        </is>
      </c>
      <c r="F227" s="24" t="inlineStr">
        <is>
          <t>18-415</t>
        </is>
      </c>
      <c r="G227" s="24" t="inlineStr">
        <is>
          <t>128 ml Frosted Round Dropper Bottle</t>
        </is>
      </c>
      <c r="H227" s="24" t="inlineStr">
        <is>
          <t>Glass Bottle</t>
        </is>
      </c>
      <c r="I227" s="24" t="inlineStr">
        <is>
          <t>Round</t>
        </is>
      </c>
      <c r="J227" s="24" t="inlineStr">
        <is>
          <t>round-128ml-frosted-18-415-dropper</t>
        </is>
      </c>
      <c r="K227" s="24" t="inlineStr">
        <is>
          <t>kh7a55vw3tyehjkh43gh4scnpd83ksf4</t>
        </is>
      </c>
      <c r="L227" s="24" t="inlineStr">
        <is>
          <t>GB-RND-FRS-128ML-DRP-SLV</t>
        </is>
      </c>
      <c r="M227" s="24" t="inlineStr">
        <is>
          <t>GBRndFrst128DrpSl</t>
        </is>
      </c>
      <c r="N227" s="24" t="inlineStr">
        <is>
          <t>GBRndFrst128DrpSl, GBRndFrst128DrpGl</t>
        </is>
      </c>
      <c r="O227" s="25" t="inlineStr">
        <is>
          <t>https://www.bestbottles.com/product/round-design-128-ml-frosted-glass-bottle-white-dropper-shiny-silver-collar-cap</t>
        </is>
      </c>
      <c r="P227" s="23" t="inlineStr">
        <is>
          <t>No</t>
        </is>
      </c>
      <c r="Q227" s="24" t="n"/>
      <c r="R227" s="24" t="n">
        <v>3</v>
      </c>
      <c r="S227" s="24" t="n">
        <v>2.7</v>
      </c>
      <c r="T227" s="24" t="n">
        <v>2.7</v>
      </c>
      <c r="U227" s="24" t="n"/>
      <c r="V227" s="24" t="n"/>
      <c r="W227" s="24" t="n"/>
      <c r="X227" s="24" t="n"/>
    </row>
    <row r="228" ht="15" customHeight="1" s="19">
      <c r="A228" s="21" t="n">
        <v>227</v>
      </c>
      <c r="B228" s="21" t="inlineStr">
        <is>
          <t>Round</t>
        </is>
      </c>
      <c r="C228" s="21" t="n">
        <v>128</v>
      </c>
      <c r="D228" s="21" t="inlineStr">
        <is>
          <t>Frosted</t>
        </is>
      </c>
      <c r="E228" s="21" t="inlineStr">
        <is>
          <t>Lotion Pump</t>
        </is>
      </c>
      <c r="F228" s="21" t="inlineStr">
        <is>
          <t>18-415</t>
        </is>
      </c>
      <c r="G228" s="21" t="inlineStr">
        <is>
          <t>128 ml Frosted Round Lotion Pump Bottle</t>
        </is>
      </c>
      <c r="H228" s="21" t="inlineStr">
        <is>
          <t>Glass Bottle</t>
        </is>
      </c>
      <c r="I228" s="21" t="inlineStr">
        <is>
          <t>Round</t>
        </is>
      </c>
      <c r="J228" s="21" t="inlineStr">
        <is>
          <t>round-128ml-frosted-18-415-lotionpump</t>
        </is>
      </c>
      <c r="K228" s="21" t="inlineStr">
        <is>
          <t>kh70dk53fccpe7sjvq4mbytt4n83k6eg</t>
        </is>
      </c>
      <c r="L228" s="21" t="inlineStr">
        <is>
          <t>LB-RND-FRS-128ML-LPM-CLR</t>
        </is>
      </c>
      <c r="M228" s="21" t="inlineStr">
        <is>
          <t>LBRndFrst128LtnClOvrCap</t>
        </is>
      </c>
      <c r="N228" s="21" t="inlineStr">
        <is>
          <t>LBRndFrst128LtnClOvrCap, LBRndFrst128LtnMtGl, LBRndFrst128LtnShnGl, LBRndFrst128LtnShnBlk, LBRndFrst128LtnMtSl, LBRndFrst128LtnShnSl, LBRndFrst128LtnCu</t>
        </is>
      </c>
      <c r="O228" s="22" t="inlineStr">
        <is>
          <t>https://www.bestbottles.com/product/round-design-128-ml-frosted-glass-bottle-clear-over-the-cap-lotion-pump-matte-silver-collar-cap</t>
        </is>
      </c>
      <c r="P228" s="23" t="inlineStr">
        <is>
          <t>No</t>
        </is>
      </c>
      <c r="Q228" s="21" t="n"/>
      <c r="R228" s="21" t="n">
        <v>7</v>
      </c>
      <c r="S228" s="21" t="n">
        <v>3.55</v>
      </c>
      <c r="T228" s="21" t="n">
        <v>3.55</v>
      </c>
      <c r="U228" s="21" t="n"/>
      <c r="V228" s="21" t="n"/>
      <c r="W228" s="21" t="n"/>
      <c r="X228" s="21" t="n"/>
    </row>
    <row r="229" ht="15" customHeight="1" s="19">
      <c r="A229" s="24" t="n">
        <v>228</v>
      </c>
      <c r="B229" s="24" t="inlineStr">
        <is>
          <t>Round</t>
        </is>
      </c>
      <c r="C229" s="24" t="n">
        <v>128</v>
      </c>
      <c r="D229" s="24" t="inlineStr">
        <is>
          <t>Frosted</t>
        </is>
      </c>
      <c r="E229" s="24" t="inlineStr">
        <is>
          <t>Perfume Spray Pump</t>
        </is>
      </c>
      <c r="F229" s="24" t="inlineStr">
        <is>
          <t>18-415</t>
        </is>
      </c>
      <c r="G229" s="24" t="inlineStr">
        <is>
          <t>128 ml Frosted Round Bottle</t>
        </is>
      </c>
      <c r="H229" s="24" t="inlineStr">
        <is>
          <t>Glass Bottle</t>
        </is>
      </c>
      <c r="I229" s="24" t="inlineStr">
        <is>
          <t>Round</t>
        </is>
      </c>
      <c r="J229" s="24" t="inlineStr">
        <is>
          <t>round-128ml-frosted-18-415-perfumespray</t>
        </is>
      </c>
      <c r="K229" s="24" t="inlineStr">
        <is>
          <t>kh7eqxvvm4rfzb0astadkdgwex83kpjb</t>
        </is>
      </c>
      <c r="L229" s="24" t="inlineStr">
        <is>
          <t>GB-RND-FRS-128ML-SPR-CPR</t>
        </is>
      </c>
      <c r="M229" s="24" t="inlineStr">
        <is>
          <t>GBRndFrst128SpryCu</t>
        </is>
      </c>
      <c r="N229" s="24" t="inlineStr">
        <is>
          <t>GBRndFrst128SpryCu</t>
        </is>
      </c>
      <c r="O229" s="25" t="inlineStr">
        <is>
          <t>https://www.bestbottles.com/product/round-design-128-ml-frosted-glass-bottle-matte-copper-spray-and-cap</t>
        </is>
      </c>
      <c r="P229" s="23" t="inlineStr">
        <is>
          <t>No</t>
        </is>
      </c>
      <c r="Q229" s="24" t="n"/>
      <c r="R229" s="24" t="n">
        <v>6</v>
      </c>
      <c r="S229" s="24" t="n">
        <v>3.55</v>
      </c>
      <c r="T229" s="24" t="n">
        <v>3.55</v>
      </c>
      <c r="U229" s="24" t="n"/>
      <c r="V229" s="24" t="n"/>
      <c r="W229" s="24" t="n"/>
      <c r="X229" s="24" t="n"/>
    </row>
    <row r="230" ht="15" customHeight="1" s="19">
      <c r="A230" s="21" t="n">
        <v>229</v>
      </c>
      <c r="B230" s="21" t="inlineStr">
        <is>
          <t>Round</t>
        </is>
      </c>
      <c r="C230" s="21" t="n">
        <v>128</v>
      </c>
      <c r="D230" s="21" t="inlineStr">
        <is>
          <t>Frosted</t>
        </is>
      </c>
      <c r="E230" s="21" t="inlineStr">
        <is>
          <t>Reducer</t>
        </is>
      </c>
      <c r="F230" s="21" t="inlineStr">
        <is>
          <t>18-415</t>
        </is>
      </c>
      <c r="G230" s="21" t="inlineStr">
        <is>
          <t>128 ml Frosted Round Reducer Bottle</t>
        </is>
      </c>
      <c r="H230" s="21" t="inlineStr">
        <is>
          <t>Glass Bottle</t>
        </is>
      </c>
      <c r="I230" s="21" t="inlineStr">
        <is>
          <t>Round</t>
        </is>
      </c>
      <c r="J230" s="21" t="inlineStr">
        <is>
          <t>round-128ml-frosted-18-415-reducer</t>
        </is>
      </c>
      <c r="K230" s="21" t="inlineStr">
        <is>
          <t>kh7fmtr8f02w0xeny0c4h39qs983jhea</t>
        </is>
      </c>
      <c r="L230" s="21" t="inlineStr">
        <is>
          <t>GB-RND-FRS-128ML-RDC-BLK</t>
        </is>
      </c>
      <c r="M230" s="21" t="inlineStr">
        <is>
          <t>GBRndFrst128RdcrBlkLthr</t>
        </is>
      </c>
      <c r="N230" s="21" t="inlineStr">
        <is>
          <t>GBRndFrst128RdcrBlkLthr, GBRndFrst128RdcrShnSl, GBRndFrst128RdcrShnGl, GBRndFrst128RdcrShnBlkTall, GBRndFrst128RdcrShnBlk, GBRndFrst128RdcrBrwnLthr, GBRndFrst128RdcrLBrwnLthr, GBRndFrst128RdcrMtSlTall, GBRndFrst128RdcrMtSl, GBRndFrst128RdcrWht, GBRndFrst128RdcrPnkLthr</t>
        </is>
      </c>
      <c r="O230" s="22" t="inlineStr">
        <is>
          <t>https://www.bestbottles.com/product/round-design-128-ml-frosted-glass-bottle-reducer-black-faux-leather-cap</t>
        </is>
      </c>
      <c r="P230" s="23" t="inlineStr">
        <is>
          <t>No</t>
        </is>
      </c>
      <c r="Q230" s="21" t="n"/>
      <c r="R230" s="21" t="n">
        <v>12</v>
      </c>
      <c r="S230" s="21" t="n">
        <v>2.52</v>
      </c>
      <c r="T230" s="21" t="n">
        <v>2.8</v>
      </c>
      <c r="U230" s="21" t="n"/>
      <c r="V230" s="21" t="n"/>
      <c r="W230" s="21" t="n"/>
      <c r="X230" s="21" t="n"/>
    </row>
    <row r="231" ht="15" customHeight="1" s="19">
      <c r="A231" s="24" t="n">
        <v>230</v>
      </c>
      <c r="B231" s="24" t="inlineStr">
        <is>
          <t>Round</t>
        </is>
      </c>
      <c r="C231" s="24" t="n">
        <v>128</v>
      </c>
      <c r="D231" s="24" t="inlineStr">
        <is>
          <t>Frosted</t>
        </is>
      </c>
      <c r="E231" s="24" t="inlineStr">
        <is>
          <t>Vintage Bulb Sprayer</t>
        </is>
      </c>
      <c r="F231" s="24" t="inlineStr">
        <is>
          <t>18-415</t>
        </is>
      </c>
      <c r="G231" s="24" t="inlineStr">
        <is>
          <t>128 ml Frosted Round Vintage Bulb Spray Bottle</t>
        </is>
      </c>
      <c r="H231" s="24" t="inlineStr">
        <is>
          <t>Glass Bottle</t>
        </is>
      </c>
      <c r="I231" s="24" t="inlineStr">
        <is>
          <t>Round</t>
        </is>
      </c>
      <c r="J231" s="24" t="inlineStr">
        <is>
          <t>round-128ml-frosted-18-415-antiquespray</t>
        </is>
      </c>
      <c r="K231" s="24" t="inlineStr">
        <is>
          <t>kh7evx5rfsypynvncd80m8ybe583jqk7</t>
        </is>
      </c>
      <c r="L231" s="24" t="inlineStr">
        <is>
          <t>GB-RND-FRS-128ML-ASP-RED</t>
        </is>
      </c>
      <c r="M231" s="24" t="inlineStr">
        <is>
          <t>GBRndFrst128AnSpRed</t>
        </is>
      </c>
      <c r="N231" s="24" t="inlineStr">
        <is>
          <t>GBRndFrst128AnSpRed, GBRndFrst128AnSpMtSl, GBRndFrst128AnSpWht, GBRndFrst128AnSpTslRed, GBRndFrst128AnSpTslGl, GBRndFrst128AnSpTslIvyGl, GBRndFrst128AnSpTslIvySl, GBRndFrst128AnSpTslLvn, GBRndFrst128AnSpTslPnk, GBRndFrst128AnSpTslWht, GBRndFrst128AnSpTslMtSl</t>
        </is>
      </c>
      <c r="O231" s="25" t="inlineStr">
        <is>
          <t>https://www.bestbottles.com/product/round-design-128-ml-frosted-glass-bottle-red-vintage-style-bulb-sprayer-shiny-silver-collar-cap</t>
        </is>
      </c>
      <c r="P231" s="23" t="inlineStr">
        <is>
          <t>No</t>
        </is>
      </c>
      <c r="Q231" s="24" t="n"/>
      <c r="R231" s="24" t="n">
        <v>18</v>
      </c>
      <c r="S231" s="24" t="n">
        <v>6.4</v>
      </c>
      <c r="T231" s="24" t="n">
        <v>7.15</v>
      </c>
      <c r="U231" s="24" t="n"/>
      <c r="V231" s="24" t="n"/>
      <c r="W231" s="24" t="n"/>
      <c r="X231" s="24" t="n"/>
    </row>
    <row r="232" ht="15" customHeight="1" s="19">
      <c r="A232" s="21" t="n">
        <v>231</v>
      </c>
      <c r="B232" s="21" t="inlineStr">
        <is>
          <t>Royal</t>
        </is>
      </c>
      <c r="C232" s="21" t="n">
        <v>13</v>
      </c>
      <c r="D232" s="21" t="inlineStr">
        <is>
          <t>Clear</t>
        </is>
      </c>
      <c r="E232" s="21" t="inlineStr">
        <is>
          <t>Cap/Closure</t>
        </is>
      </c>
      <c r="F232" s="21" t="inlineStr">
        <is>
          <t>13-415</t>
        </is>
      </c>
      <c r="G232" s="21" t="inlineStr">
        <is>
          <t>13 ml Clear Royal Bottle with Cap</t>
        </is>
      </c>
      <c r="H232" s="21" t="inlineStr">
        <is>
          <t>Glass Bottle</t>
        </is>
      </c>
      <c r="I232" s="21" t="inlineStr">
        <is>
          <t>Royal</t>
        </is>
      </c>
      <c r="J232" s="21" t="inlineStr">
        <is>
          <t>royal-13ml-clear-13-415</t>
        </is>
      </c>
      <c r="K232" s="21" t="inlineStr">
        <is>
          <t>kh741ejd0eefg8f8m131006x3n83jjp1</t>
        </is>
      </c>
      <c r="L232" s="21" t="inlineStr">
        <is>
          <t>GB-VIA-CLR-13ML-GLD-T</t>
        </is>
      </c>
      <c r="M232" s="21" t="inlineStr">
        <is>
          <t>GBRoyal13Gl</t>
        </is>
      </c>
      <c r="N232" s="21" t="inlineStr">
        <is>
          <t>GBRoyal13Gl, GBRoyal13Sl, GBRoyal13WhtSht, GBRoyal13BlkSht</t>
        </is>
      </c>
      <c r="O232" s="22" t="inlineStr">
        <is>
          <t>https://www.bestbottles.com/product/royal-design-13-ml-glass-bottle-shiny-gold-cap</t>
        </is>
      </c>
      <c r="P232" s="23" t="inlineStr">
        <is>
          <t>No</t>
        </is>
      </c>
      <c r="Q232" s="21" t="n"/>
      <c r="R232" s="21" t="n">
        <v>4</v>
      </c>
      <c r="S232" s="21" t="n">
        <v>0.44</v>
      </c>
      <c r="T232" s="21" t="n">
        <v>0.62</v>
      </c>
      <c r="U232" s="21" t="n"/>
      <c r="V232" s="21" t="n"/>
      <c r="W232" s="21" t="n"/>
      <c r="X232" s="21" t="n"/>
    </row>
    <row r="233" ht="15" customHeight="1" s="19">
      <c r="A233" s="24" t="n">
        <v>232</v>
      </c>
      <c r="B233" s="24" t="inlineStr">
        <is>
          <t>Royal</t>
        </is>
      </c>
      <c r="C233" s="24" t="n">
        <v>13</v>
      </c>
      <c r="D233" s="24" t="inlineStr">
        <is>
          <t>Clear</t>
        </is>
      </c>
      <c r="E233" s="24" t="inlineStr">
        <is>
          <t>Fine Mist Sprayer</t>
        </is>
      </c>
      <c r="F233" s="24" t="inlineStr">
        <is>
          <t>13-415</t>
        </is>
      </c>
      <c r="G233" s="24" t="inlineStr">
        <is>
          <t>13 ml Clear Royal Fine Mist Spray Bottle</t>
        </is>
      </c>
      <c r="H233" s="24" t="inlineStr">
        <is>
          <t>Glass Bottle</t>
        </is>
      </c>
      <c r="I233" s="24" t="inlineStr">
        <is>
          <t>Royal</t>
        </is>
      </c>
      <c r="J233" s="24" t="inlineStr">
        <is>
          <t>royal-13ml-clear-13-415-finemist</t>
        </is>
      </c>
      <c r="K233" s="24" t="inlineStr">
        <is>
          <t>kh72d93hhkk8fd6ezpfccf5wa183kmga</t>
        </is>
      </c>
      <c r="L233" s="24" t="inlineStr">
        <is>
          <t>GB-RYL-CLR-13ML-SPR-SBLK</t>
        </is>
      </c>
      <c r="M233" s="24" t="inlineStr">
        <is>
          <t>GBRoyal13SpryBlkSh</t>
        </is>
      </c>
      <c r="N233" s="24" t="inlineStr">
        <is>
          <t>GBRoyal13SpryBlkSh, GBRoyal13SpryGlSh, GBRoyal13SprySlSh, GBRoyal13SpryBluMatt, GBRoyal13SpryCuMatt, GBRoyal13SprySlMatt, GBRoyal13SpryGlMatt</t>
        </is>
      </c>
      <c r="O233" s="25" t="inlineStr">
        <is>
          <t>https://www.bestbottles.com/product/royal-design-13-ml-glass-bottle-shiny-black-spray</t>
        </is>
      </c>
      <c r="P233" s="23" t="inlineStr">
        <is>
          <t>No</t>
        </is>
      </c>
      <c r="Q233" s="24" t="n"/>
      <c r="R233" s="24" t="n">
        <v>7</v>
      </c>
      <c r="S233" s="24" t="n">
        <v>0.97</v>
      </c>
      <c r="T233" s="24" t="n">
        <v>0.97</v>
      </c>
      <c r="U233" s="24" t="n"/>
      <c r="V233" s="24" t="n"/>
      <c r="W233" s="24" t="n"/>
      <c r="X233" s="24" t="n"/>
    </row>
    <row r="234" ht="15" customHeight="1" s="19">
      <c r="A234" s="21" t="n">
        <v>233</v>
      </c>
      <c r="B234" s="21" t="inlineStr">
        <is>
          <t>Royal</t>
        </is>
      </c>
      <c r="C234" s="21" t="n">
        <v>13</v>
      </c>
      <c r="D234" s="21" t="inlineStr">
        <is>
          <t>Clear</t>
        </is>
      </c>
      <c r="E234" s="21" t="inlineStr">
        <is>
          <t>Metal Roller Ball, Plastic Roller Ball</t>
        </is>
      </c>
      <c r="F234" s="21" t="inlineStr">
        <is>
          <t>13-415</t>
        </is>
      </c>
      <c r="G234" s="21" t="inlineStr">
        <is>
          <t>13 ml Clear Royal Roll-On Bottle</t>
        </is>
      </c>
      <c r="H234" s="21" t="inlineStr">
        <is>
          <t>Glass Bottle</t>
        </is>
      </c>
      <c r="I234" s="21" t="inlineStr">
        <is>
          <t>Royal</t>
        </is>
      </c>
      <c r="J234" s="21" t="inlineStr">
        <is>
          <t>royal-13ml-clear-13-415-rollon</t>
        </is>
      </c>
      <c r="K234" s="21" t="inlineStr">
        <is>
          <t>kh7bzk4pcpdzz72zde9zvda1sn83jk0z</t>
        </is>
      </c>
      <c r="L234" s="21" t="inlineStr">
        <is>
          <t>GB-RYL-CLR-13ML-ROL-SLDT</t>
        </is>
      </c>
      <c r="M234" s="21" t="inlineStr">
        <is>
          <t>GBRoyal13RollSlDot</t>
        </is>
      </c>
      <c r="N234" s="21" t="inlineStr">
        <is>
          <t>GBRoyal13RollSlDot, GBRoyal13RollSlMatt, GBRoyal13RollSlSh, GBRoyal13RollBlkDot, GBRoyal13MtlRollBlkDot, GBRoyal13MtlRollBlkSh, GBRoyal13MtlRollCuMatt, GBRoyal13MtlRollGlMatt, GBRoyal13MtlRollGlSh, GBRoyal13MtlRollPinkDot, GBRoyal13MtlRollSlDot, GBRoyal13MtlRollSlMatt, GBRoyal13MtlRollSlSh, GBRoyal13RollBlkSh, GBRoyal13RollCuMatt, GBRoyal13RollGlMatt, GBRoyal13RollGlSh, GBRoyal13RollPinkDot</t>
        </is>
      </c>
      <c r="O234" s="22" t="inlineStr">
        <is>
          <t>https://www.bestbottles.com/product/royal-design-13-ml-glass-bottle-plastic-roller-ball-plug-silver-cap-with-dots</t>
        </is>
      </c>
      <c r="P234" s="23" t="inlineStr">
        <is>
          <t>No</t>
        </is>
      </c>
      <c r="Q234" s="21" t="n"/>
      <c r="R234" s="21" t="n">
        <v>18</v>
      </c>
      <c r="S234" s="21" t="n">
        <v>0.74</v>
      </c>
      <c r="T234" s="21" t="n">
        <v>0.89</v>
      </c>
      <c r="U234" s="21" t="n"/>
      <c r="V234" s="21" t="n"/>
      <c r="W234" s="21" t="n"/>
      <c r="X234" s="21" t="n"/>
    </row>
    <row r="235" ht="15" customHeight="1" s="19">
      <c r="A235" s="24" t="n">
        <v>234</v>
      </c>
      <c r="B235" s="24" t="inlineStr">
        <is>
          <t>Royal</t>
        </is>
      </c>
      <c r="C235" s="24" t="n">
        <v>14</v>
      </c>
      <c r="D235" s="24" t="inlineStr">
        <is>
          <t>Clear</t>
        </is>
      </c>
      <c r="E235" s="24" t="inlineStr">
        <is>
          <t>Cap/Closure</t>
        </is>
      </c>
      <c r="F235" s="24" t="inlineStr">
        <is>
          <t>11mm</t>
        </is>
      </c>
      <c r="G235" s="24" t="inlineStr">
        <is>
          <t>14 ml Clear Royal Bottle with Cap</t>
        </is>
      </c>
      <c r="H235" s="24" t="inlineStr">
        <is>
          <t>Glass Bottle</t>
        </is>
      </c>
      <c r="I235" s="24" t="inlineStr">
        <is>
          <t>Royal</t>
        </is>
      </c>
      <c r="J235" s="24" t="inlineStr">
        <is>
          <t>royal-14ml-clear-11mm</t>
        </is>
      </c>
      <c r="K235" s="24" t="inlineStr">
        <is>
          <t>kh73qe35jermtcc5zhn37nvksx83kh0a</t>
        </is>
      </c>
      <c r="L235" s="24" t="inlineStr">
        <is>
          <t>GB-RYL-CLR-14ML-T</t>
        </is>
      </c>
      <c r="M235" s="24" t="inlineStr">
        <is>
          <t>GBMtlCylGl</t>
        </is>
      </c>
      <c r="N235" s="24" t="inlineStr">
        <is>
          <t>GBMtlCylGl</t>
        </is>
      </c>
      <c r="O235" s="25" t="inlineStr">
        <is>
          <t>https://www.bestbottles.com/product/Royal-Cylindrical-decorative-Perfume-bottle-Gold-Metal-decoration-crystal-top-14ml</t>
        </is>
      </c>
      <c r="P235" s="23" t="inlineStr">
        <is>
          <t>No</t>
        </is>
      </c>
      <c r="Q235" s="24" t="n"/>
      <c r="R235" s="24" t="n">
        <v>1</v>
      </c>
      <c r="S235" s="24" t="n">
        <v>7.15</v>
      </c>
      <c r="T235" s="24" t="n">
        <v>7.15</v>
      </c>
      <c r="U235" s="24" t="n"/>
      <c r="V235" s="24" t="n"/>
      <c r="W235" s="24" t="n"/>
      <c r="X235" s="24" t="n"/>
    </row>
    <row r="236" ht="15" customHeight="1" s="19">
      <c r="A236" s="21" t="n">
        <v>235</v>
      </c>
      <c r="B236" s="21" t="inlineStr">
        <is>
          <t>Sleek</t>
        </is>
      </c>
      <c r="C236" s="21" t="n">
        <v>5</v>
      </c>
      <c r="D236" s="21" t="inlineStr">
        <is>
          <t>Clear</t>
        </is>
      </c>
      <c r="E236" s="21" t="inlineStr">
        <is>
          <t>Cap/Closure</t>
        </is>
      </c>
      <c r="F236" s="21" t="inlineStr">
        <is>
          <t>13-415</t>
        </is>
      </c>
      <c r="G236" s="21" t="inlineStr">
        <is>
          <t>5 ml Clear Sleek Bottle with Cap</t>
        </is>
      </c>
      <c r="H236" s="21" t="inlineStr">
        <is>
          <t>Glass Bottle</t>
        </is>
      </c>
      <c r="I236" s="21" t="inlineStr">
        <is>
          <t>Sleek</t>
        </is>
      </c>
      <c r="J236" s="21" t="inlineStr">
        <is>
          <t>sleek-5ml-clear-13-415</t>
        </is>
      </c>
      <c r="K236" s="21" t="inlineStr">
        <is>
          <t>kh7ecjv0c19jzzz70gx153y0m183j2xf</t>
        </is>
      </c>
      <c r="L236" s="21" t="inlineStr">
        <is>
          <t>GB-SLK-CLR-5ML-GLD-T</t>
        </is>
      </c>
      <c r="M236" s="21" t="inlineStr">
        <is>
          <t>GBSleek5Gl</t>
        </is>
      </c>
      <c r="N236" s="21" t="inlineStr">
        <is>
          <t>GBSleek5Gl, GBSleek5Sl, GBSleek5WhtSht</t>
        </is>
      </c>
      <c r="O236" s="22" t="inlineStr">
        <is>
          <t>https://www.bestbottles.com/product/sleek-design-5-ml-glass-bottle-shiny-gold-cap</t>
        </is>
      </c>
      <c r="P236" s="23" t="inlineStr">
        <is>
          <t>No</t>
        </is>
      </c>
      <c r="Q236" s="21" t="n"/>
      <c r="R236" s="21" t="n">
        <v>4</v>
      </c>
      <c r="S236" s="21" t="n">
        <v>0.54</v>
      </c>
      <c r="T236" s="21" t="n">
        <v>0.6</v>
      </c>
      <c r="U236" s="21" t="n"/>
      <c r="V236" s="21" t="n"/>
      <c r="W236" s="21" t="n"/>
      <c r="X236" s="21" t="n"/>
    </row>
    <row r="237" ht="15" customHeight="1" s="19">
      <c r="A237" s="24" t="n">
        <v>236</v>
      </c>
      <c r="B237" s="24" t="inlineStr">
        <is>
          <t>Sleek</t>
        </is>
      </c>
      <c r="C237" s="24" t="n">
        <v>5</v>
      </c>
      <c r="D237" s="24" t="inlineStr">
        <is>
          <t>Clear</t>
        </is>
      </c>
      <c r="E237" s="24" t="inlineStr">
        <is>
          <t>Fine Mist Sprayer</t>
        </is>
      </c>
      <c r="F237" s="24" t="inlineStr">
        <is>
          <t>13-415</t>
        </is>
      </c>
      <c r="G237" s="24" t="inlineStr">
        <is>
          <t>5 ml Clear Sleek Fine Mist Spray Bottle</t>
        </is>
      </c>
      <c r="H237" s="24" t="inlineStr">
        <is>
          <t>Glass Bottle</t>
        </is>
      </c>
      <c r="I237" s="24" t="inlineStr">
        <is>
          <t>Sleek</t>
        </is>
      </c>
      <c r="J237" s="24" t="inlineStr">
        <is>
          <t>sleek-5ml-clear-13-415-finemist</t>
        </is>
      </c>
      <c r="K237" s="24" t="inlineStr">
        <is>
          <t>kh7askpb0m0ef6w68wgak3stgn83j8sd</t>
        </is>
      </c>
      <c r="L237" s="24" t="inlineStr">
        <is>
          <t>GB-SLK-CLR-5ML-SPR-MBLK</t>
        </is>
      </c>
      <c r="M237" s="24" t="inlineStr">
        <is>
          <t>GBSleek5SpryBlkMatt</t>
        </is>
      </c>
      <c r="N237" s="24" t="inlineStr">
        <is>
          <t>GBSleek5SpryBlkMatt, GBSleek5SpryGlSh, GBSleek5SprySlSh, GBSleek5SpryBlkSh, GBSleek5SprySlMatt, GBSleek5SpryCuMatt, GBSleek5SpryBluMatt, GBSleek5SpryGlMatt</t>
        </is>
      </c>
      <c r="O237" s="25" t="inlineStr">
        <is>
          <t>https://www.bestbottles.com/product/sleek-design-5-ml-glass-bottle-matte-black-spray</t>
        </is>
      </c>
      <c r="P237" s="23" t="inlineStr">
        <is>
          <t>No</t>
        </is>
      </c>
      <c r="Q237" s="24" t="n"/>
      <c r="R237" s="24" t="n">
        <v>8</v>
      </c>
      <c r="S237" s="24" t="n">
        <v>0.95</v>
      </c>
      <c r="T237" s="24" t="n">
        <v>0.95</v>
      </c>
      <c r="U237" s="24" t="n"/>
      <c r="V237" s="24" t="n"/>
      <c r="W237" s="24" t="n"/>
      <c r="X237" s="24" t="n"/>
    </row>
    <row r="238" ht="15" customHeight="1" s="19">
      <c r="A238" s="21" t="n">
        <v>237</v>
      </c>
      <c r="B238" s="21" t="inlineStr">
        <is>
          <t>Sleek</t>
        </is>
      </c>
      <c r="C238" s="21" t="n">
        <v>5</v>
      </c>
      <c r="D238" s="21" t="inlineStr">
        <is>
          <t>Clear</t>
        </is>
      </c>
      <c r="E238" s="21" t="inlineStr">
        <is>
          <t>Metal Roller Ball, Plastic Roller Ball</t>
        </is>
      </c>
      <c r="F238" s="21" t="inlineStr">
        <is>
          <t>13-415</t>
        </is>
      </c>
      <c r="G238" s="21" t="inlineStr">
        <is>
          <t>5 ml Clear Sleek Roll-On Bottle</t>
        </is>
      </c>
      <c r="H238" s="21" t="inlineStr">
        <is>
          <t>Glass Bottle</t>
        </is>
      </c>
      <c r="I238" s="21" t="inlineStr">
        <is>
          <t>Sleek</t>
        </is>
      </c>
      <c r="J238" s="21" t="inlineStr">
        <is>
          <t>sleek-5ml-clear-13-415-rollon</t>
        </is>
      </c>
      <c r="K238" s="21" t="inlineStr">
        <is>
          <t>kh786dea2xmj16bvx1v8eb0mj983jr50</t>
        </is>
      </c>
      <c r="L238" s="21" t="inlineStr">
        <is>
          <t>GB-SLK-CLR-5ML-MRL-SBLK</t>
        </is>
      </c>
      <c r="M238" s="21" t="inlineStr">
        <is>
          <t>GBSleek5MtlRollBlkSh</t>
        </is>
      </c>
      <c r="N238" s="21" t="inlineStr">
        <is>
          <t>GBSleek5MtlRollBlkSh, GBSleek5MtlRollCuMatt, GBSleek5MtlRollGlMatt, GBSleek5MtlRollGlSh, GBSleek5MtlRollPinkDot, GBSleek5MtlRollSlDot, GBSleek5MtlRollSlMatt, GBSleek5MtlRollSlSh, GBSleek5RollBlkDot</t>
        </is>
      </c>
      <c r="O238" s="22" t="inlineStr">
        <is>
          <t>https://www.bestbottles.com/product/sleek-design-5-ml-glass-bottle-metal-roller-ball-plug-black-shiny-cap</t>
        </is>
      </c>
      <c r="P238" s="23" t="inlineStr">
        <is>
          <t>No</t>
        </is>
      </c>
      <c r="Q238" s="21" t="n"/>
      <c r="R238" s="21" t="n">
        <v>18</v>
      </c>
      <c r="S238" s="21" t="n">
        <v>0.72</v>
      </c>
      <c r="T238" s="21" t="n">
        <v>0.87</v>
      </c>
      <c r="U238" s="21" t="n"/>
      <c r="V238" s="21" t="n"/>
      <c r="W238" s="21" t="n"/>
      <c r="X238" s="21" t="n"/>
    </row>
    <row r="239" ht="15" customHeight="1" s="19">
      <c r="A239" s="24" t="n">
        <v>238</v>
      </c>
      <c r="B239" s="24" t="inlineStr">
        <is>
          <t>Sleek</t>
        </is>
      </c>
      <c r="C239" s="24" t="n">
        <v>8</v>
      </c>
      <c r="D239" s="24" t="inlineStr">
        <is>
          <t>Clear</t>
        </is>
      </c>
      <c r="E239" s="24" t="inlineStr">
        <is>
          <t>Cap/Closure</t>
        </is>
      </c>
      <c r="F239" s="24" t="inlineStr">
        <is>
          <t>13-415</t>
        </is>
      </c>
      <c r="G239" s="24" t="inlineStr">
        <is>
          <t>8 ml Clear Sleek Bottle with Cap</t>
        </is>
      </c>
      <c r="H239" s="24" t="inlineStr">
        <is>
          <t>Glass Bottle</t>
        </is>
      </c>
      <c r="I239" s="24" t="inlineStr">
        <is>
          <t>Sleek</t>
        </is>
      </c>
      <c r="J239" s="24" t="inlineStr">
        <is>
          <t>sleek-8ml-clear-13-415</t>
        </is>
      </c>
      <c r="K239" s="24" t="inlineStr">
        <is>
          <t>kh7c9vex7y2x18kg7x12fx7xwx83j9zr</t>
        </is>
      </c>
      <c r="L239" s="24" t="inlineStr">
        <is>
          <t>GB-SLK-CLR-8ML-SLV-T</t>
        </is>
      </c>
      <c r="M239" s="24" t="inlineStr">
        <is>
          <t>GBSleek8Sl</t>
        </is>
      </c>
      <c r="N239" s="24" t="inlineStr">
        <is>
          <t>GBSleek8Sl, GBSleek8Gl, GBSleek8WhtSht</t>
        </is>
      </c>
      <c r="O239" s="25" t="inlineStr">
        <is>
          <t>https://www.bestbottles.com/product/sleek-design-8-ml-glass-bottle-shiny-silver-cap</t>
        </is>
      </c>
      <c r="P239" s="23" t="inlineStr">
        <is>
          <t>No</t>
        </is>
      </c>
      <c r="Q239" s="24" t="n"/>
      <c r="R239" s="24" t="n">
        <v>4</v>
      </c>
      <c r="S239" s="24" t="n">
        <v>0.55</v>
      </c>
      <c r="T239" s="24" t="n">
        <v>0.62</v>
      </c>
      <c r="U239" s="24" t="n"/>
      <c r="V239" s="24" t="n"/>
      <c r="W239" s="24" t="n"/>
      <c r="X239" s="24" t="n"/>
    </row>
    <row r="240" ht="15" customHeight="1" s="19">
      <c r="A240" s="21" t="n">
        <v>239</v>
      </c>
      <c r="B240" s="21" t="inlineStr">
        <is>
          <t>Sleek</t>
        </is>
      </c>
      <c r="C240" s="21" t="n">
        <v>8</v>
      </c>
      <c r="D240" s="21" t="inlineStr">
        <is>
          <t>Clear</t>
        </is>
      </c>
      <c r="E240" s="21" t="inlineStr">
        <is>
          <t>Fine Mist Sprayer</t>
        </is>
      </c>
      <c r="F240" s="21" t="inlineStr">
        <is>
          <t>13-415</t>
        </is>
      </c>
      <c r="G240" s="21" t="inlineStr">
        <is>
          <t>8 ml Clear Sleek Fine Mist Spray Bottle</t>
        </is>
      </c>
      <c r="H240" s="21" t="inlineStr">
        <is>
          <t>Glass Bottle</t>
        </is>
      </c>
      <c r="I240" s="21" t="inlineStr">
        <is>
          <t>Sleek</t>
        </is>
      </c>
      <c r="J240" s="21" t="inlineStr">
        <is>
          <t>sleek-8ml-clear-13-415-finemist</t>
        </is>
      </c>
      <c r="K240" s="21" t="inlineStr">
        <is>
          <t>kh7bx1b8gsnsrdg2hnmybaapjd83jm0h</t>
        </is>
      </c>
      <c r="L240" s="21" t="inlineStr">
        <is>
          <t>GB-SLK-CLR-8ML-SPR-MBLK</t>
        </is>
      </c>
      <c r="M240" s="21" t="inlineStr">
        <is>
          <t>GBSleek8SpryBlkMatt</t>
        </is>
      </c>
      <c r="N240" s="21" t="inlineStr">
        <is>
          <t>GBSleek8SpryBlkMatt, GBSleek8SpryBlkSh</t>
        </is>
      </c>
      <c r="O240" s="22" t="inlineStr">
        <is>
          <t>https://www.bestbottles.com/product/sleek-design-8-ml-glass-bottle-matte-black-spray</t>
        </is>
      </c>
      <c r="P240" s="23" t="inlineStr">
        <is>
          <t>No</t>
        </is>
      </c>
      <c r="Q240" s="21" t="n"/>
      <c r="R240" s="21" t="n">
        <v>8</v>
      </c>
      <c r="S240" s="21" t="n">
        <v>0.97</v>
      </c>
      <c r="T240" s="21" t="n">
        <v>0.97</v>
      </c>
      <c r="U240" s="21" t="n"/>
      <c r="V240" s="21" t="n"/>
      <c r="W240" s="21" t="n"/>
      <c r="X240" s="21" t="n"/>
    </row>
    <row r="241" ht="15" customHeight="1" s="19">
      <c r="A241" s="24" t="n">
        <v>240</v>
      </c>
      <c r="B241" s="24" t="inlineStr">
        <is>
          <t>Sleek</t>
        </is>
      </c>
      <c r="C241" s="24" t="n">
        <v>8</v>
      </c>
      <c r="D241" s="24" t="inlineStr">
        <is>
          <t>Clear</t>
        </is>
      </c>
      <c r="E241" s="24" t="inlineStr">
        <is>
          <t>Metal Roller Ball, Plastic Roller Ball</t>
        </is>
      </c>
      <c r="F241" s="24" t="inlineStr">
        <is>
          <t>13-415</t>
        </is>
      </c>
      <c r="G241" s="24" t="inlineStr">
        <is>
          <t>8 ml Clear Sleek Roll-On Bottle</t>
        </is>
      </c>
      <c r="H241" s="24" t="inlineStr">
        <is>
          <t>Glass Bottle</t>
        </is>
      </c>
      <c r="I241" s="24" t="inlineStr">
        <is>
          <t>Sleek</t>
        </is>
      </c>
      <c r="J241" s="24" t="inlineStr">
        <is>
          <t>sleek-8ml-clear-13-415-rollon</t>
        </is>
      </c>
      <c r="K241" s="24" t="inlineStr">
        <is>
          <t>kh74jxw1beb3ded7g18rt6dn9h83kcv2</t>
        </is>
      </c>
      <c r="L241" s="24" t="inlineStr">
        <is>
          <t>GB-SLK-CLR-8ML-ROL-BKDT</t>
        </is>
      </c>
      <c r="M241" s="24" t="inlineStr">
        <is>
          <t>GBSleek8RollBlkDot</t>
        </is>
      </c>
      <c r="N241" s="24" t="inlineStr">
        <is>
          <t>GBSleek8RollBlkDot, GBSleek8MtlRollBlkSh, GBSleek8MtlRollCuMatt, GBSleek8MtlRollGlMatt, GBSleek8MtlRollGlSh, GBSleek8MtlRollPinkDot, GBSleek8MtlRollSlDot, GBSleek8MtlRollSlMatt, GBSleek8MtlRollSlSh</t>
        </is>
      </c>
      <c r="O241" s="25" t="inlineStr">
        <is>
          <t>https://www.bestbottles.com/product/sleek-design-8-ml-glass-bottle-plastic-roller-ball-plug-black-shiny-cap-with-dots</t>
        </is>
      </c>
      <c r="P241" s="23" t="inlineStr">
        <is>
          <t>No</t>
        </is>
      </c>
      <c r="Q241" s="24" t="n"/>
      <c r="R241" s="24" t="n">
        <v>18</v>
      </c>
      <c r="S241" s="24" t="n">
        <v>0.74</v>
      </c>
      <c r="T241" s="24" t="n">
        <v>0.89</v>
      </c>
      <c r="U241" s="24" t="n"/>
      <c r="V241" s="24" t="n"/>
      <c r="W241" s="24" t="n"/>
      <c r="X241" s="24" t="n"/>
    </row>
    <row r="242" ht="15" customHeight="1" s="19">
      <c r="A242" s="21" t="n">
        <v>241</v>
      </c>
      <c r="B242" s="21" t="inlineStr">
        <is>
          <t>Sleek</t>
        </is>
      </c>
      <c r="C242" s="21" t="n">
        <v>30</v>
      </c>
      <c r="D242" s="21" t="inlineStr">
        <is>
          <t>Clear</t>
        </is>
      </c>
      <c r="E242" s="21" t="inlineStr">
        <is>
          <t>Dropper</t>
        </is>
      </c>
      <c r="F242" s="21" t="inlineStr">
        <is>
          <t>18-415</t>
        </is>
      </c>
      <c r="G242" s="21" t="inlineStr">
        <is>
          <t>30 ml Clear Sleek Dropper Bottle</t>
        </is>
      </c>
      <c r="H242" s="21" t="inlineStr">
        <is>
          <t>Glass Bottle</t>
        </is>
      </c>
      <c r="I242" s="21" t="inlineStr">
        <is>
          <t>Sleek</t>
        </is>
      </c>
      <c r="J242" s="21" t="inlineStr">
        <is>
          <t>sleek-30ml-clear-18-415-dropper</t>
        </is>
      </c>
      <c r="K242" s="21" t="inlineStr">
        <is>
          <t>kh7ftdkta1436qcnkamx5sga4n83j1wn</t>
        </is>
      </c>
      <c r="L242" s="21" t="inlineStr">
        <is>
          <t>GB-SLK-CLR-30ML-DRP-SLV</t>
        </is>
      </c>
      <c r="M242" s="21" t="inlineStr">
        <is>
          <t>GBSlk30DrpSl</t>
        </is>
      </c>
      <c r="N242" s="21" t="inlineStr">
        <is>
          <t>GBSlk30DrpSl, GBSlk30DrpGl</t>
        </is>
      </c>
      <c r="O242" s="22" t="inlineStr">
        <is>
          <t>https://www.bestbottles.com/product/sleek-design-30-ml-glass-bottle-white-dropper-shiny-silver-collar-cap</t>
        </is>
      </c>
      <c r="P242" s="23" t="inlineStr">
        <is>
          <t>No</t>
        </is>
      </c>
      <c r="Q242" s="21" t="n"/>
      <c r="R242" s="21" t="n">
        <v>3</v>
      </c>
      <c r="S242" s="21" t="n">
        <v>1.7</v>
      </c>
      <c r="T242" s="21" t="n">
        <v>1.7</v>
      </c>
      <c r="U242" s="21" t="n"/>
      <c r="V242" s="21" t="n"/>
      <c r="W242" s="21" t="n"/>
      <c r="X242" s="21" t="n"/>
    </row>
    <row r="243" ht="15" customHeight="1" s="19">
      <c r="A243" s="24" t="n">
        <v>242</v>
      </c>
      <c r="B243" s="24" t="inlineStr">
        <is>
          <t>Sleek</t>
        </is>
      </c>
      <c r="C243" s="24" t="n">
        <v>30</v>
      </c>
      <c r="D243" s="24" t="inlineStr">
        <is>
          <t>Clear</t>
        </is>
      </c>
      <c r="E243" s="24" t="inlineStr">
        <is>
          <t>Lotion Pump</t>
        </is>
      </c>
      <c r="F243" s="24" t="inlineStr">
        <is>
          <t>18-415</t>
        </is>
      </c>
      <c r="G243" s="24" t="inlineStr">
        <is>
          <t>30 ml Clear Sleek Lotion Pump Bottle</t>
        </is>
      </c>
      <c r="H243" s="24" t="inlineStr">
        <is>
          <t>Glass Bottle</t>
        </is>
      </c>
      <c r="I243" s="24" t="inlineStr">
        <is>
          <t>Sleek</t>
        </is>
      </c>
      <c r="J243" s="24" t="inlineStr">
        <is>
          <t>sleek-30ml-clear-18-415-lotionpump</t>
        </is>
      </c>
      <c r="K243" s="24" t="inlineStr">
        <is>
          <t>kh72awwmaxp266qmb8n9fz79pn83jj77</t>
        </is>
      </c>
      <c r="L243" s="24" t="n"/>
      <c r="M243" s="24" t="n"/>
      <c r="N243" s="24" t="n"/>
      <c r="O243" s="24" t="n"/>
      <c r="P243" s="23" t="inlineStr">
        <is>
          <t>No</t>
        </is>
      </c>
      <c r="Q243" s="24" t="n"/>
      <c r="R243" s="24" t="n">
        <v>8</v>
      </c>
      <c r="S243" s="24" t="n">
        <v>2.55</v>
      </c>
      <c r="T243" s="24" t="n">
        <v>3.25</v>
      </c>
      <c r="U243" s="24" t="n"/>
      <c r="V243" s="24" t="n"/>
      <c r="W243" s="24" t="n"/>
      <c r="X243" s="24" t="n"/>
    </row>
    <row r="244" ht="15" customHeight="1" s="19">
      <c r="A244" s="21" t="n">
        <v>243</v>
      </c>
      <c r="B244" s="21" t="inlineStr">
        <is>
          <t>Sleek</t>
        </is>
      </c>
      <c r="C244" s="21" t="n">
        <v>30</v>
      </c>
      <c r="D244" s="21" t="inlineStr">
        <is>
          <t>Clear</t>
        </is>
      </c>
      <c r="E244" s="21" t="inlineStr">
        <is>
          <t>Perfume Spray Pump</t>
        </is>
      </c>
      <c r="F244" s="21" t="inlineStr">
        <is>
          <t>18-415</t>
        </is>
      </c>
      <c r="G244" s="21" t="inlineStr">
        <is>
          <t>30 ml Clear Sleek Bottle</t>
        </is>
      </c>
      <c r="H244" s="21" t="inlineStr">
        <is>
          <t>Glass Bottle</t>
        </is>
      </c>
      <c r="I244" s="21" t="inlineStr">
        <is>
          <t>Sleek</t>
        </is>
      </c>
      <c r="J244" s="21" t="inlineStr">
        <is>
          <t>sleek-30ml-clear-18-415-perfumespray</t>
        </is>
      </c>
      <c r="K244" s="21" t="inlineStr">
        <is>
          <t>kh76nxnfaq7qtaxb7xv2g17hd183jcz2</t>
        </is>
      </c>
      <c r="L244" s="21" t="inlineStr">
        <is>
          <t>GB-SLK-CLR-30ML-SPR-MGLD</t>
        </is>
      </c>
      <c r="M244" s="21" t="inlineStr">
        <is>
          <t>GBSlk30SpryMtGl</t>
        </is>
      </c>
      <c r="N244" s="21" t="inlineStr">
        <is>
          <t>GBSlk30SpryMtGl, GBSlk30SpryShnGl, GBSlk30SpryShnBlk, GBSlk30SpryMtSl, GBSlk30SpryShnSl, GBSlk30SpryCu</t>
        </is>
      </c>
      <c r="O244" s="22" t="inlineStr">
        <is>
          <t>https://www.bestbottles.com/product/sleek-design-30-ml-glass-bottle-matte-gold-spray-pump-and-cap</t>
        </is>
      </c>
      <c r="P244" s="23" t="inlineStr">
        <is>
          <t>No</t>
        </is>
      </c>
      <c r="Q244" s="21" t="n"/>
      <c r="R244" s="21" t="n">
        <v>6</v>
      </c>
      <c r="S244" s="21" t="n">
        <v>2.55</v>
      </c>
      <c r="T244" s="21" t="n">
        <v>2.55</v>
      </c>
      <c r="U244" s="21" t="n"/>
      <c r="V244" s="21" t="n"/>
      <c r="W244" s="21" t="n"/>
      <c r="X244" s="21" t="n"/>
    </row>
    <row r="245" ht="15" customHeight="1" s="19">
      <c r="A245" s="24" t="n">
        <v>244</v>
      </c>
      <c r="B245" s="24" t="inlineStr">
        <is>
          <t>Sleek</t>
        </is>
      </c>
      <c r="C245" s="24" t="n">
        <v>30</v>
      </c>
      <c r="D245" s="24" t="inlineStr">
        <is>
          <t>Clear</t>
        </is>
      </c>
      <c r="E245" s="24" t="inlineStr">
        <is>
          <t>Reducer</t>
        </is>
      </c>
      <c r="F245" s="24" t="inlineStr">
        <is>
          <t>18-415</t>
        </is>
      </c>
      <c r="G245" s="24" t="inlineStr">
        <is>
          <t>30 ml Clear Sleek Reducer Bottle</t>
        </is>
      </c>
      <c r="H245" s="24" t="inlineStr">
        <is>
          <t>Glass Bottle</t>
        </is>
      </c>
      <c r="I245" s="24" t="inlineStr">
        <is>
          <t>Sleek</t>
        </is>
      </c>
      <c r="J245" s="24" t="inlineStr">
        <is>
          <t>sleek-30ml-clear-18-415-reducer</t>
        </is>
      </c>
      <c r="K245" s="24" t="inlineStr">
        <is>
          <t>kh7eaqz1q0grzcnrajx1wbh0z183kq2v</t>
        </is>
      </c>
      <c r="L245" s="24" t="inlineStr">
        <is>
          <t>GB-SLK-CLR-30ML-RDC-BKLT</t>
        </is>
      </c>
      <c r="M245" s="24" t="inlineStr">
        <is>
          <t>GBSlk30RdcrBlkLthr</t>
        </is>
      </c>
      <c r="N245" s="24" t="inlineStr">
        <is>
          <t>GBSlk30RdcrBlkLthr, GBSlk30RdcrIvyLthr, GBSlk30RdcrPnkLthr, GBSlk30RdcrShnGl, GBSlk30RdcrShnBlkTall, GBSlk30RdcrShnBlk, GBSlk30RdcrBrwnLthr, GBSlk30RdcrLBrwnLthr, GBSlk30RdcrShnSl, GBSlk30RdcrMtSlTall, GBSlk30RdcrMtSl, GBSlk30RdcrWht</t>
        </is>
      </c>
      <c r="O245" s="25" t="inlineStr">
        <is>
          <t>https://www.bestbottles.com/product/sleek-design-30-ml-glass-bottle-reducer-black-faux-leather-cap</t>
        </is>
      </c>
      <c r="P245" s="23" t="inlineStr">
        <is>
          <t>No</t>
        </is>
      </c>
      <c r="Q245" s="24" t="n"/>
      <c r="R245" s="24" t="n">
        <v>12</v>
      </c>
      <c r="S245" s="24" t="n">
        <v>1.52</v>
      </c>
      <c r="T245" s="24" t="n">
        <v>1.8</v>
      </c>
      <c r="U245" s="24" t="n"/>
      <c r="V245" s="24" t="n"/>
      <c r="W245" s="24" t="n"/>
      <c r="X245" s="24" t="n"/>
    </row>
    <row r="246" ht="15" customHeight="1" s="19">
      <c r="A246" s="21" t="n">
        <v>245</v>
      </c>
      <c r="B246" s="21" t="inlineStr">
        <is>
          <t>Sleek</t>
        </is>
      </c>
      <c r="C246" s="21" t="n">
        <v>30</v>
      </c>
      <c r="D246" s="21" t="inlineStr">
        <is>
          <t>Clear</t>
        </is>
      </c>
      <c r="E246" s="21" t="inlineStr">
        <is>
          <t>Vintage Bulb Sprayer</t>
        </is>
      </c>
      <c r="F246" s="21" t="inlineStr">
        <is>
          <t>18-415</t>
        </is>
      </c>
      <c r="G246" s="21" t="inlineStr">
        <is>
          <t>30 ml Clear Sleek Vintage Bulb Spray Bottle</t>
        </is>
      </c>
      <c r="H246" s="21" t="inlineStr">
        <is>
          <t>Glass Bottle</t>
        </is>
      </c>
      <c r="I246" s="21" t="inlineStr">
        <is>
          <t>Sleek</t>
        </is>
      </c>
      <c r="J246" s="21" t="inlineStr">
        <is>
          <t>sleek-30ml-clear-18-415-antiquespray</t>
        </is>
      </c>
      <c r="K246" s="21" t="inlineStr">
        <is>
          <t>kh7czhrnrpja2r0tjd2evcv07n83kdnw</t>
        </is>
      </c>
      <c r="L246" s="21" t="inlineStr">
        <is>
          <t>GB-SLK-CLR-30ML-ASP-BLK</t>
        </is>
      </c>
      <c r="M246" s="21" t="inlineStr">
        <is>
          <t>GBSlk30AnSpBlk</t>
        </is>
      </c>
      <c r="N246" s="21" t="inlineStr">
        <is>
          <t>GBSlk30AnSpBlk</t>
        </is>
      </c>
      <c r="O246" s="22" t="inlineStr">
        <is>
          <t>https://www.bestbottles.com/product/sleek-design-30-ml-glass-bottle-black-vintage-style-bulb-sprayer-shiny-silver-collar-cap</t>
        </is>
      </c>
      <c r="P246" s="23" t="inlineStr">
        <is>
          <t>No</t>
        </is>
      </c>
      <c r="Q246" s="21" t="n"/>
      <c r="R246" s="21" t="n">
        <v>9</v>
      </c>
      <c r="S246" s="21" t="n">
        <v>5.4</v>
      </c>
      <c r="T246" s="21" t="n">
        <v>5.4</v>
      </c>
      <c r="U246" s="21" t="n"/>
      <c r="V246" s="21" t="n"/>
      <c r="W246" s="21" t="n"/>
      <c r="X246" s="21" t="n"/>
    </row>
    <row r="247" ht="15" customHeight="1" s="19">
      <c r="A247" s="24" t="n">
        <v>246</v>
      </c>
      <c r="B247" s="24" t="inlineStr">
        <is>
          <t>Sleek</t>
        </is>
      </c>
      <c r="C247" s="24" t="n">
        <v>50</v>
      </c>
      <c r="D247" s="24" t="inlineStr">
        <is>
          <t>Clear</t>
        </is>
      </c>
      <c r="E247" s="24" t="inlineStr">
        <is>
          <t>Lotion Pump</t>
        </is>
      </c>
      <c r="F247" s="24" t="inlineStr">
        <is>
          <t>18-415</t>
        </is>
      </c>
      <c r="G247" s="24" t="inlineStr">
        <is>
          <t>50 ml Clear Sleek Lotion Pump Bottle</t>
        </is>
      </c>
      <c r="H247" s="24" t="inlineStr">
        <is>
          <t>Glass Bottle</t>
        </is>
      </c>
      <c r="I247" s="24" t="inlineStr">
        <is>
          <t>Sleek</t>
        </is>
      </c>
      <c r="J247" s="24" t="inlineStr">
        <is>
          <t>sleek-50ml-clear-18-415-lotionpump</t>
        </is>
      </c>
      <c r="K247" s="24" t="inlineStr">
        <is>
          <t>kh737tfdpgn627mjewb721qz2983k059</t>
        </is>
      </c>
      <c r="L247" s="24" t="n"/>
      <c r="M247" s="24" t="n"/>
      <c r="N247" s="24" t="n"/>
      <c r="O247" s="24" t="n"/>
      <c r="P247" s="23" t="inlineStr">
        <is>
          <t>No</t>
        </is>
      </c>
      <c r="Q247" s="24" t="n"/>
      <c r="R247" s="24" t="n">
        <v>8</v>
      </c>
      <c r="S247" s="24" t="n">
        <v>2.7</v>
      </c>
      <c r="T247" s="24" t="n">
        <v>3.4</v>
      </c>
      <c r="U247" s="24" t="n"/>
      <c r="V247" s="24" t="n"/>
      <c r="W247" s="24" t="n"/>
      <c r="X247" s="24" t="n"/>
    </row>
    <row r="248" ht="15" customHeight="1" s="19">
      <c r="A248" s="21" t="n">
        <v>247</v>
      </c>
      <c r="B248" s="21" t="inlineStr">
        <is>
          <t>Sleek</t>
        </is>
      </c>
      <c r="C248" s="21" t="n">
        <v>50</v>
      </c>
      <c r="D248" s="21" t="inlineStr">
        <is>
          <t>Clear</t>
        </is>
      </c>
      <c r="E248" s="21" t="inlineStr">
        <is>
          <t>Perfume Spray Pump</t>
        </is>
      </c>
      <c r="F248" s="21" t="inlineStr">
        <is>
          <t>18-415</t>
        </is>
      </c>
      <c r="G248" s="21" t="inlineStr">
        <is>
          <t>50 ml Clear Sleek Bottle</t>
        </is>
      </c>
      <c r="H248" s="21" t="inlineStr">
        <is>
          <t>Glass Bottle</t>
        </is>
      </c>
      <c r="I248" s="21" t="inlineStr">
        <is>
          <t>Sleek</t>
        </is>
      </c>
      <c r="J248" s="21" t="inlineStr">
        <is>
          <t>sleek-50ml-clear-18-415-perfumespray</t>
        </is>
      </c>
      <c r="K248" s="21" t="inlineStr">
        <is>
          <t>kh7fjskqwf0k7me849x8mcb3vx83jmp1</t>
        </is>
      </c>
      <c r="L248" s="21" t="inlineStr">
        <is>
          <t>GB-SLK-CLR-50ML-SPR-SBLK</t>
        </is>
      </c>
      <c r="M248" s="21" t="inlineStr">
        <is>
          <t>GBSlk50SpryShnBlk</t>
        </is>
      </c>
      <c r="N248" s="21" t="inlineStr">
        <is>
          <t>GBSlk50SpryShnBlk, GBSlk50SpryShnGl, GBSlk50SpryMtSl, GBSlk50SpryShnSl, GBSlk50SpryMtGl, GBSlk50SpryCu</t>
        </is>
      </c>
      <c r="O248" s="22" t="inlineStr">
        <is>
          <t>https://www.bestbottles.com/product/sleek-design-50-ml-glass-bottle-shiny-black-spray-pump-and-cap</t>
        </is>
      </c>
      <c r="P248" s="23" t="inlineStr">
        <is>
          <t>No</t>
        </is>
      </c>
      <c r="Q248" s="21" t="n"/>
      <c r="R248" s="21" t="n">
        <v>6</v>
      </c>
      <c r="S248" s="21" t="n">
        <v>2.7</v>
      </c>
      <c r="T248" s="21" t="n">
        <v>2.7</v>
      </c>
      <c r="U248" s="21" t="n"/>
      <c r="V248" s="21" t="n"/>
      <c r="W248" s="21" t="n"/>
      <c r="X248" s="21" t="n"/>
    </row>
    <row r="249" ht="15" customHeight="1" s="19">
      <c r="A249" s="24" t="n">
        <v>248</v>
      </c>
      <c r="B249" s="24" t="inlineStr">
        <is>
          <t>Sleek</t>
        </is>
      </c>
      <c r="C249" s="24" t="n">
        <v>50</v>
      </c>
      <c r="D249" s="24" t="inlineStr">
        <is>
          <t>Clear</t>
        </is>
      </c>
      <c r="E249" s="24" t="inlineStr">
        <is>
          <t>Reducer</t>
        </is>
      </c>
      <c r="F249" s="24" t="inlineStr">
        <is>
          <t>18-415</t>
        </is>
      </c>
      <c r="G249" s="24" t="inlineStr">
        <is>
          <t>50 ml Clear Sleek Reducer Bottle</t>
        </is>
      </c>
      <c r="H249" s="24" t="inlineStr">
        <is>
          <t>Glass Bottle</t>
        </is>
      </c>
      <c r="I249" s="24" t="inlineStr">
        <is>
          <t>Sleek</t>
        </is>
      </c>
      <c r="J249" s="24" t="inlineStr">
        <is>
          <t>sleek-50ml-clear-18-415-reducer</t>
        </is>
      </c>
      <c r="K249" s="24" t="inlineStr">
        <is>
          <t>kh7fgrjzz8qv1y5kxqm5st62hx83j6g5</t>
        </is>
      </c>
      <c r="L249" s="24" t="inlineStr">
        <is>
          <t>GB-SLK-CLR-50ML-RDC-BKLT</t>
        </is>
      </c>
      <c r="M249" s="24" t="inlineStr">
        <is>
          <t>GBSlk50RdcrBlkLthr</t>
        </is>
      </c>
      <c r="N249" s="24" t="inlineStr">
        <is>
          <t>GBSlk50RdcrBlkLthr</t>
        </is>
      </c>
      <c r="O249" s="25" t="inlineStr">
        <is>
          <t>https://www.bestbottles.com/product/sleek-design-50-ml-glass-bottle-reducer-black-faux-leather-cap</t>
        </is>
      </c>
      <c r="P249" s="23" t="inlineStr">
        <is>
          <t>No</t>
        </is>
      </c>
      <c r="Q249" s="24" t="n"/>
      <c r="R249" s="24" t="n">
        <v>12</v>
      </c>
      <c r="S249" s="24" t="n">
        <v>1.67</v>
      </c>
      <c r="T249" s="24" t="n">
        <v>1.95</v>
      </c>
      <c r="U249" s="24" t="n"/>
      <c r="V249" s="24" t="n"/>
      <c r="W249" s="24" t="n"/>
      <c r="X249" s="24" t="n"/>
    </row>
    <row r="250" ht="15" customHeight="1" s="19">
      <c r="A250" s="21" t="n">
        <v>249</v>
      </c>
      <c r="B250" s="21" t="inlineStr">
        <is>
          <t>Sleek</t>
        </is>
      </c>
      <c r="C250" s="21" t="n">
        <v>50</v>
      </c>
      <c r="D250" s="21" t="inlineStr">
        <is>
          <t>Clear</t>
        </is>
      </c>
      <c r="E250" s="21" t="inlineStr">
        <is>
          <t>Vintage Bulb Sprayer</t>
        </is>
      </c>
      <c r="F250" s="21" t="inlineStr">
        <is>
          <t>18-415</t>
        </is>
      </c>
      <c r="G250" s="21" t="inlineStr">
        <is>
          <t>50 ml Clear Sleek Vintage Bulb Spray Bottle</t>
        </is>
      </c>
      <c r="H250" s="21" t="inlineStr">
        <is>
          <t>Glass Bottle</t>
        </is>
      </c>
      <c r="I250" s="21" t="inlineStr">
        <is>
          <t>Sleek</t>
        </is>
      </c>
      <c r="J250" s="21" t="inlineStr">
        <is>
          <t>sleek-50ml-clear-18-415-antiquespray</t>
        </is>
      </c>
      <c r="K250" s="21" t="inlineStr">
        <is>
          <t>kh794v5j65ywkbq8bdmj67enfn83k1g4</t>
        </is>
      </c>
      <c r="L250" s="21" t="inlineStr">
        <is>
          <t>GB-SLK-CLR-50ML-ASP-LVN</t>
        </is>
      </c>
      <c r="M250" s="21" t="inlineStr">
        <is>
          <t>GBSlk50AnSpLvn</t>
        </is>
      </c>
      <c r="N250" s="21" t="inlineStr">
        <is>
          <t>GBSlk50AnSpLvn, GBSlk50AnSpPnk, GBSlk50AnSpMtSl, GBSlk50AnSpIvySl, GBSlk50AnSpGl, GBSlk50AnSpIvyGl, GBSlk50AnSpWht, GBSlk50AnSpRed, GBSlk50AnSpBlk</t>
        </is>
      </c>
      <c r="O250" s="22" t="inlineStr">
        <is>
          <t>https://www.bestbottles.com/product/sleek-design-50-ml-glass-bottle-lavender-vintage-style-bulb-sprayer-shiny-silver-collar-cap</t>
        </is>
      </c>
      <c r="P250" s="23" t="inlineStr">
        <is>
          <t>No</t>
        </is>
      </c>
      <c r="Q250" s="21" t="n"/>
      <c r="R250" s="21" t="n">
        <v>9</v>
      </c>
      <c r="S250" s="21" t="n">
        <v>5.55</v>
      </c>
      <c r="T250" s="21" t="n">
        <v>5.55</v>
      </c>
      <c r="U250" s="21" t="n"/>
      <c r="V250" s="21" t="n"/>
      <c r="W250" s="21" t="n"/>
      <c r="X250" s="21" t="n"/>
    </row>
    <row r="251" ht="15" customHeight="1" s="19">
      <c r="A251" s="24" t="n">
        <v>250</v>
      </c>
      <c r="B251" s="24" t="inlineStr">
        <is>
          <t>Sleek</t>
        </is>
      </c>
      <c r="C251" s="24" t="n">
        <v>50</v>
      </c>
      <c r="D251" s="24" t="inlineStr">
        <is>
          <t>Clear</t>
        </is>
      </c>
      <c r="E251" s="24" t="inlineStr">
        <is>
          <t>Vintage Bulb Sprayer with Tassel</t>
        </is>
      </c>
      <c r="F251" s="24" t="inlineStr">
        <is>
          <t>18-415</t>
        </is>
      </c>
      <c r="G251" s="24" t="inlineStr">
        <is>
          <t>50 ml Clear Sleek Vintage Bulb Spray Bottle with Tassel</t>
        </is>
      </c>
      <c r="H251" s="24" t="inlineStr">
        <is>
          <t>Glass Bottle</t>
        </is>
      </c>
      <c r="I251" s="24" t="inlineStr">
        <is>
          <t>Sleek</t>
        </is>
      </c>
      <c r="J251" s="24" t="inlineStr">
        <is>
          <t>sleek-50ml-clear-18-415-antiquespray-tassel</t>
        </is>
      </c>
      <c r="K251" s="24" t="inlineStr">
        <is>
          <t>kh702dw2hcxgsc5186phx0m8f183kqpd</t>
        </is>
      </c>
      <c r="L251" s="24" t="inlineStr">
        <is>
          <t>GB-SLK-CLR-50ML-AST-LVN</t>
        </is>
      </c>
      <c r="M251" s="24" t="inlineStr">
        <is>
          <t>GBSlk50AnSpTslLvn</t>
        </is>
      </c>
      <c r="N251" s="24" t="inlineStr">
        <is>
          <t>GBSlk50AnSpTslLvn, GBSlk50AnSpTslIvyGl, GBSlk50AnSpTslIvySl, GBSlk50AnSpTslWht, GBSlk50AnSpTslPnk, GBSlk50AnSpTslRed, GBSlk50AnSpTslMtSl, GBSlk50AnSpTslGl, GBSlk50AnSpTslBlk</t>
        </is>
      </c>
      <c r="O251" s="25" t="inlineStr">
        <is>
          <t>https://www.bestbottles.com/product/sleek-design-50-ml-glass-bottle-lavender-vintage-style-sprayer-with-tassel-shiny-silver-collar</t>
        </is>
      </c>
      <c r="P251" s="23" t="inlineStr">
        <is>
          <t>No</t>
        </is>
      </c>
      <c r="Q251" s="24" t="n"/>
      <c r="R251" s="24" t="n">
        <v>9</v>
      </c>
      <c r="S251" s="24" t="n">
        <v>6.3</v>
      </c>
      <c r="T251" s="24" t="n">
        <v>6.3</v>
      </c>
      <c r="U251" s="24" t="n"/>
      <c r="V251" s="24" t="n"/>
      <c r="W251" s="24" t="n"/>
      <c r="X251" s="24" t="n"/>
    </row>
    <row r="252" ht="15" customHeight="1" s="19">
      <c r="A252" s="21" t="n">
        <v>251</v>
      </c>
      <c r="B252" s="21" t="inlineStr">
        <is>
          <t>Sleek</t>
        </is>
      </c>
      <c r="C252" s="21" t="n">
        <v>100</v>
      </c>
      <c r="D252" s="21" t="inlineStr">
        <is>
          <t>Clear</t>
        </is>
      </c>
      <c r="E252" s="21" t="inlineStr">
        <is>
          <t>Lotion Pump</t>
        </is>
      </c>
      <c r="F252" s="21" t="inlineStr">
        <is>
          <t>18-415</t>
        </is>
      </c>
      <c r="G252" s="21" t="inlineStr">
        <is>
          <t>100 ml Clear Sleek Lotion Pump Bottle</t>
        </is>
      </c>
      <c r="H252" s="21" t="inlineStr">
        <is>
          <t>Glass Bottle</t>
        </is>
      </c>
      <c r="I252" s="21" t="inlineStr">
        <is>
          <t>Sleek</t>
        </is>
      </c>
      <c r="J252" s="21" t="inlineStr">
        <is>
          <t>sleek-100ml-clear-18-415-lotionpump</t>
        </is>
      </c>
      <c r="K252" s="21" t="inlineStr">
        <is>
          <t>kh7a0pkhnss2pypkayk427cqxs83jnh8</t>
        </is>
      </c>
      <c r="L252" s="21" t="inlineStr">
        <is>
          <t>LB-SLK-CLR-100ML-LPM-COCP</t>
        </is>
      </c>
      <c r="M252" s="21" t="inlineStr">
        <is>
          <t>LBSlk100LtnClOvrCap</t>
        </is>
      </c>
      <c r="N252" s="21" t="inlineStr">
        <is>
          <t>LBSlk100LtnClOvrCap</t>
        </is>
      </c>
      <c r="O252" s="22" t="inlineStr">
        <is>
          <t>https://www.bestbottles.com/product/sleek-design-100-ml-glass-bottle-clear-over-the-cap-lotion-pump-matte-silver-collar-cap</t>
        </is>
      </c>
      <c r="P252" s="23" t="inlineStr">
        <is>
          <t>No</t>
        </is>
      </c>
      <c r="Q252" s="21" t="n"/>
      <c r="R252" s="21" t="n">
        <v>8</v>
      </c>
      <c r="S252" s="21" t="n">
        <v>3.05</v>
      </c>
      <c r="T252" s="21" t="n">
        <v>3.75</v>
      </c>
      <c r="U252" s="21" t="n"/>
      <c r="V252" s="21" t="n"/>
      <c r="W252" s="21" t="n"/>
      <c r="X252" s="21" t="n"/>
    </row>
    <row r="253" ht="15" customHeight="1" s="19">
      <c r="A253" s="24" t="n">
        <v>252</v>
      </c>
      <c r="B253" s="24" t="inlineStr">
        <is>
          <t>Sleek</t>
        </is>
      </c>
      <c r="C253" s="24" t="n">
        <v>100</v>
      </c>
      <c r="D253" s="24" t="inlineStr">
        <is>
          <t>Clear</t>
        </is>
      </c>
      <c r="E253" s="24" t="inlineStr">
        <is>
          <t>Perfume Spray Pump</t>
        </is>
      </c>
      <c r="F253" s="24" t="inlineStr">
        <is>
          <t>18-415</t>
        </is>
      </c>
      <c r="G253" s="24" t="inlineStr">
        <is>
          <t>100 ml Clear Sleek Bottle</t>
        </is>
      </c>
      <c r="H253" s="24" t="inlineStr">
        <is>
          <t>Glass Bottle</t>
        </is>
      </c>
      <c r="I253" s="24" t="inlineStr">
        <is>
          <t>Sleek</t>
        </is>
      </c>
      <c r="J253" s="24" t="inlineStr">
        <is>
          <t>sleek-100ml-clear-18-415-perfumespray</t>
        </is>
      </c>
      <c r="K253" s="24" t="inlineStr">
        <is>
          <t>kh7eed0tsyq32bszpqsabr879d83jgt0</t>
        </is>
      </c>
      <c r="L253" s="24" t="inlineStr">
        <is>
          <t>GB-SLK-CLR-100ML-SPR-CPR</t>
        </is>
      </c>
      <c r="M253" s="24" t="inlineStr">
        <is>
          <t>GBSlk100SpryCu</t>
        </is>
      </c>
      <c r="N253" s="24" t="inlineStr">
        <is>
          <t>GBSlk100SpryCu, GBSlk100SpryShnBlk, GBSlk100SpryShnGl, GBSlk100SpryMtGl, GBSlk100SpryMtSl, GBSlk100SpryShnSl</t>
        </is>
      </c>
      <c r="O253" s="25" t="inlineStr">
        <is>
          <t>https://www.bestbottles.com/product/sleek-design-100-ml-glass-bottle-matte-copper-spray-and-cap</t>
        </is>
      </c>
      <c r="P253" s="23" t="inlineStr">
        <is>
          <t>No</t>
        </is>
      </c>
      <c r="Q253" s="24" t="n"/>
      <c r="R253" s="24" t="n">
        <v>6</v>
      </c>
      <c r="S253" s="24" t="n">
        <v>3.05</v>
      </c>
      <c r="T253" s="24" t="n">
        <v>3.05</v>
      </c>
      <c r="U253" s="24" t="n"/>
      <c r="V253" s="24" t="n"/>
      <c r="W253" s="24" t="n"/>
      <c r="X253" s="24" t="n"/>
    </row>
    <row r="254" ht="15" customHeight="1" s="19">
      <c r="A254" s="21" t="n">
        <v>253</v>
      </c>
      <c r="B254" s="21" t="inlineStr">
        <is>
          <t>Sleek</t>
        </is>
      </c>
      <c r="C254" s="21" t="n">
        <v>100</v>
      </c>
      <c r="D254" s="21" t="inlineStr">
        <is>
          <t>Clear</t>
        </is>
      </c>
      <c r="E254" s="21" t="inlineStr">
        <is>
          <t>Reducer</t>
        </is>
      </c>
      <c r="F254" s="21" t="inlineStr">
        <is>
          <t>18-415</t>
        </is>
      </c>
      <c r="G254" s="21" t="inlineStr">
        <is>
          <t>100 ml Clear Sleek Reducer Bottle</t>
        </is>
      </c>
      <c r="H254" s="21" t="inlineStr">
        <is>
          <t>Glass Bottle</t>
        </is>
      </c>
      <c r="I254" s="21" t="inlineStr">
        <is>
          <t>Sleek</t>
        </is>
      </c>
      <c r="J254" s="21" t="inlineStr">
        <is>
          <t>sleek-100ml-clear-18-415-reducer</t>
        </is>
      </c>
      <c r="K254" s="21" t="inlineStr">
        <is>
          <t>kh7a29kz21nqbd3c2n6t5tz0v583jw8v</t>
        </is>
      </c>
      <c r="L254" s="21" t="inlineStr">
        <is>
          <t>GB-SLK-CLR-100ML-RDC-IVLT</t>
        </is>
      </c>
      <c r="M254" s="21" t="inlineStr">
        <is>
          <t>GBSlk100RdcrIvyLthr</t>
        </is>
      </c>
      <c r="N254" s="21" t="inlineStr">
        <is>
          <t>GBSlk100RdcrIvyLthr, GBSlk100RdcrPnkLthr, GBSlk100RdcrShnGl, GBSlk100RdcrShnBlkTall, GBSlk100RdcrShnBlk, GBSlk100RdcrBrwnLthr, GBSlk100RdcrLBrwnLthr, GBSlk100RdcrShnSl, GBSlk100RdcrMtSlTall, GBSlk100RdcrMtSl, GBSlk100RdcrWht, GBSlk100RdcrBlkLthr</t>
        </is>
      </c>
      <c r="O254" s="22" t="inlineStr">
        <is>
          <t>https://www.bestbottles.com/product/sleek-design-100-ml-glass-bottle-reducer-ivory-faux-leather-cap</t>
        </is>
      </c>
      <c r="P254" s="23" t="inlineStr">
        <is>
          <t>No</t>
        </is>
      </c>
      <c r="Q254" s="21" t="n"/>
      <c r="R254" s="21" t="n">
        <v>12</v>
      </c>
      <c r="S254" s="21" t="n">
        <v>2.02</v>
      </c>
      <c r="T254" s="21" t="n">
        <v>2.3</v>
      </c>
      <c r="U254" s="21" t="n"/>
      <c r="V254" s="21" t="n"/>
      <c r="W254" s="21" t="n"/>
      <c r="X254" s="21" t="n"/>
    </row>
    <row r="255" ht="15" customHeight="1" s="19">
      <c r="A255" s="24" t="n">
        <v>254</v>
      </c>
      <c r="B255" s="24" t="inlineStr">
        <is>
          <t>Sleek</t>
        </is>
      </c>
      <c r="C255" s="24" t="n">
        <v>100</v>
      </c>
      <c r="D255" s="24" t="inlineStr">
        <is>
          <t>Clear</t>
        </is>
      </c>
      <c r="E255" s="24" t="inlineStr">
        <is>
          <t>Vintage Bulb Sprayer</t>
        </is>
      </c>
      <c r="F255" s="24" t="inlineStr">
        <is>
          <t>18-415</t>
        </is>
      </c>
      <c r="G255" s="24" t="inlineStr">
        <is>
          <t>100 ml Clear Sleek Vintage Bulb Spray Bottle</t>
        </is>
      </c>
      <c r="H255" s="24" t="inlineStr">
        <is>
          <t>Glass Bottle</t>
        </is>
      </c>
      <c r="I255" s="24" t="inlineStr">
        <is>
          <t>Sleek</t>
        </is>
      </c>
      <c r="J255" s="24" t="inlineStr">
        <is>
          <t>sleek-100ml-clear-18-415-antiquespray</t>
        </is>
      </c>
      <c r="K255" s="24" t="inlineStr">
        <is>
          <t>kh7bg78ya4hznz6krync80t7sh83kvmx</t>
        </is>
      </c>
      <c r="L255" s="24" t="inlineStr">
        <is>
          <t>GB-SLK-CLR-100ML-ASP-BLK</t>
        </is>
      </c>
      <c r="M255" s="24" t="inlineStr">
        <is>
          <t>GBSlk100AnSpBlk</t>
        </is>
      </c>
      <c r="N255" s="24" t="inlineStr">
        <is>
          <t>GBSlk100AnSpBlk</t>
        </is>
      </c>
      <c r="O255" s="25" t="inlineStr">
        <is>
          <t>https://www.bestbottles.com/product/sleek-design-100-ml-glass-bottle-black-vintage-style-bulb-sprayer-shiny-silver-collar-cap</t>
        </is>
      </c>
      <c r="P255" s="23" t="inlineStr">
        <is>
          <t>No</t>
        </is>
      </c>
      <c r="Q255" s="24" t="n"/>
      <c r="R255" s="24" t="n">
        <v>9</v>
      </c>
      <c r="S255" s="24" t="n">
        <v>5.9</v>
      </c>
      <c r="T255" s="24" t="n">
        <v>5.9</v>
      </c>
      <c r="U255" s="24" t="n"/>
      <c r="V255" s="24" t="n"/>
      <c r="W255" s="24" t="n"/>
      <c r="X255" s="24" t="n"/>
    </row>
    <row r="256" ht="15" customHeight="1" s="19">
      <c r="A256" s="21" t="n">
        <v>255</v>
      </c>
      <c r="B256" s="21" t="inlineStr">
        <is>
          <t>Sleek</t>
        </is>
      </c>
      <c r="C256" s="21" t="n">
        <v>100</v>
      </c>
      <c r="D256" s="21" t="inlineStr">
        <is>
          <t>Clear</t>
        </is>
      </c>
      <c r="E256" s="21" t="inlineStr">
        <is>
          <t>Vintage Bulb Sprayer with Tassel</t>
        </is>
      </c>
      <c r="F256" s="21" t="inlineStr">
        <is>
          <t>18-415</t>
        </is>
      </c>
      <c r="G256" s="21" t="inlineStr">
        <is>
          <t>100 ml Clear Sleek Vintage Bulb Spray Bottle with Tassel</t>
        </is>
      </c>
      <c r="H256" s="21" t="inlineStr">
        <is>
          <t>Glass Bottle</t>
        </is>
      </c>
      <c r="I256" s="21" t="inlineStr">
        <is>
          <t>Sleek</t>
        </is>
      </c>
      <c r="J256" s="21" t="inlineStr">
        <is>
          <t>sleek-100ml-clear-18-415-antiquespray-tassel</t>
        </is>
      </c>
      <c r="K256" s="21" t="inlineStr">
        <is>
          <t>kh74csfwc2bystfxx7s2gjyd5d83ja9b</t>
        </is>
      </c>
      <c r="L256" s="21" t="n"/>
      <c r="M256" s="21" t="n"/>
      <c r="N256" s="21" t="n"/>
      <c r="O256" s="21" t="n"/>
      <c r="P256" s="23" t="inlineStr">
        <is>
          <t>No</t>
        </is>
      </c>
      <c r="Q256" s="21" t="n"/>
      <c r="R256" s="21" t="n">
        <v>9</v>
      </c>
      <c r="S256" s="21" t="n">
        <v>6.65</v>
      </c>
      <c r="T256" s="21" t="n">
        <v>6.65</v>
      </c>
      <c r="U256" s="21" t="n"/>
      <c r="V256" s="21" t="n"/>
      <c r="W256" s="21" t="n"/>
      <c r="X256" s="21" t="n"/>
    </row>
    <row r="257" ht="15" customHeight="1" s="19">
      <c r="A257" s="24" t="n">
        <v>256</v>
      </c>
      <c r="B257" s="24" t="inlineStr">
        <is>
          <t>Slim</t>
        </is>
      </c>
      <c r="C257" s="24" t="n">
        <v>30</v>
      </c>
      <c r="D257" s="24" t="inlineStr">
        <is>
          <t>Clear</t>
        </is>
      </c>
      <c r="E257" s="24" t="inlineStr">
        <is>
          <t>Dropper</t>
        </is>
      </c>
      <c r="F257" s="24" t="inlineStr">
        <is>
          <t>18-415</t>
        </is>
      </c>
      <c r="G257" s="24" t="inlineStr">
        <is>
          <t>30 ml Clear Slim Dropper Bottle</t>
        </is>
      </c>
      <c r="H257" s="24" t="inlineStr">
        <is>
          <t>Glass Bottle</t>
        </is>
      </c>
      <c r="I257" s="24" t="inlineStr">
        <is>
          <t>Slim</t>
        </is>
      </c>
      <c r="J257" s="24" t="inlineStr">
        <is>
          <t>slim-30ml-clear-18-415-dropper</t>
        </is>
      </c>
      <c r="K257" s="24" t="inlineStr">
        <is>
          <t>kh7eqjr3gazsedffdackz5fdt983kfje</t>
        </is>
      </c>
      <c r="L257" s="24" t="inlineStr">
        <is>
          <t>GB-SLM-CLR-30ML-DRP-SLV</t>
        </is>
      </c>
      <c r="M257" s="24" t="inlineStr">
        <is>
          <t>GBSlm30DrpSl</t>
        </is>
      </c>
      <c r="N257" s="24" t="inlineStr">
        <is>
          <t>GBSlm30DrpSl, GBSlm30DrpGl, GBSlm30DrpCu</t>
        </is>
      </c>
      <c r="O257" s="25" t="inlineStr">
        <is>
          <t>https://www.bestbottles.com/product/slim-design-30-ml-glass-bottle-white-dropper-shiny-silver-collar-cap</t>
        </is>
      </c>
      <c r="P257" s="23" t="inlineStr">
        <is>
          <t>No</t>
        </is>
      </c>
      <c r="Q257" s="24" t="n"/>
      <c r="R257" s="24" t="n">
        <v>3</v>
      </c>
      <c r="S257" s="24" t="n">
        <v>1.65</v>
      </c>
      <c r="T257" s="24" t="n">
        <v>1.65</v>
      </c>
      <c r="U257" s="24" t="n"/>
      <c r="V257" s="24" t="n"/>
      <c r="W257" s="24" t="n"/>
      <c r="X257" s="24" t="n"/>
    </row>
    <row r="258" ht="15" customHeight="1" s="19">
      <c r="A258" s="21" t="n">
        <v>257</v>
      </c>
      <c r="B258" s="21" t="inlineStr">
        <is>
          <t>Slim</t>
        </is>
      </c>
      <c r="C258" s="21" t="n">
        <v>30</v>
      </c>
      <c r="D258" s="21" t="inlineStr">
        <is>
          <t>Clear</t>
        </is>
      </c>
      <c r="E258" s="21" t="inlineStr">
        <is>
          <t>Lotion Pump</t>
        </is>
      </c>
      <c r="F258" s="21" t="inlineStr">
        <is>
          <t>18-415</t>
        </is>
      </c>
      <c r="G258" s="21" t="inlineStr">
        <is>
          <t>30 ml Clear Slim Lotion Pump Bottle</t>
        </is>
      </c>
      <c r="H258" s="21" t="inlineStr">
        <is>
          <t>Glass Bottle</t>
        </is>
      </c>
      <c r="I258" s="21" t="inlineStr">
        <is>
          <t>Slim</t>
        </is>
      </c>
      <c r="J258" s="21" t="inlineStr">
        <is>
          <t>slim-30ml-clear-18-415-lotionpump</t>
        </is>
      </c>
      <c r="K258" s="21" t="inlineStr">
        <is>
          <t>kh766j3f6x7xxf36gnwf4kn16983j8sc</t>
        </is>
      </c>
      <c r="L258" s="21" t="inlineStr">
        <is>
          <t>LB-SLM-CLR-30ML-LPM-SBLK</t>
        </is>
      </c>
      <c r="M258" s="21" t="inlineStr">
        <is>
          <t>LBSlm30LtnShnBlk</t>
        </is>
      </c>
      <c r="N258" s="21" t="inlineStr">
        <is>
          <t>LBSlm30LtnShnBlk, LBSlm30LtnShnGl, LBSlm30LtnMtSl, LBSlm30LtnMtGl, LBSlm30LtnShnSl, LBSlm30LtnCu</t>
        </is>
      </c>
      <c r="O258" s="22" t="inlineStr">
        <is>
          <t>https://www.bestbottles.com/product/slim-design-30-ml-glass-bottle-shiny-black-lotion-pump-and-cap</t>
        </is>
      </c>
      <c r="P258" s="23" t="inlineStr">
        <is>
          <t>No</t>
        </is>
      </c>
      <c r="Q258" s="21" t="n"/>
      <c r="R258" s="21" t="n">
        <v>7</v>
      </c>
      <c r="S258" s="21" t="n">
        <v>2.5</v>
      </c>
      <c r="T258" s="21" t="n">
        <v>2.5</v>
      </c>
      <c r="U258" s="21" t="n"/>
      <c r="V258" s="21" t="n"/>
      <c r="W258" s="21" t="n"/>
      <c r="X258" s="21" t="n"/>
    </row>
    <row r="259" ht="15" customHeight="1" s="19">
      <c r="A259" s="24" t="n">
        <v>258</v>
      </c>
      <c r="B259" s="24" t="inlineStr">
        <is>
          <t>Slim</t>
        </is>
      </c>
      <c r="C259" s="24" t="n">
        <v>30</v>
      </c>
      <c r="D259" s="24" t="inlineStr">
        <is>
          <t>Clear</t>
        </is>
      </c>
      <c r="E259" s="24" t="inlineStr">
        <is>
          <t>Perfume Spray Pump</t>
        </is>
      </c>
      <c r="F259" s="24" t="inlineStr">
        <is>
          <t>18-415</t>
        </is>
      </c>
      <c r="G259" s="24" t="inlineStr">
        <is>
          <t>30 ml Clear Slim Bottle</t>
        </is>
      </c>
      <c r="H259" s="24" t="inlineStr">
        <is>
          <t>Glass Bottle</t>
        </is>
      </c>
      <c r="I259" s="24" t="inlineStr">
        <is>
          <t>Slim</t>
        </is>
      </c>
      <c r="J259" s="24" t="inlineStr">
        <is>
          <t>slim-30ml-clear-18-415-perfumespray</t>
        </is>
      </c>
      <c r="K259" s="24" t="inlineStr">
        <is>
          <t>kh7b7w4acd4bkna8qazcxxzfbd83ka3n</t>
        </is>
      </c>
      <c r="L259" s="24" t="inlineStr">
        <is>
          <t>GB-SLM-CLR-30ML-SPR-SBLK</t>
        </is>
      </c>
      <c r="M259" s="24" t="inlineStr">
        <is>
          <t>GBSlm30SpryShnBlk</t>
        </is>
      </c>
      <c r="N259" s="24" t="inlineStr">
        <is>
          <t>GBSlm30SpryShnBlk, GBSlm30SpryMtSl, GBSlm30SpryShnSl, GBSlm30SpryShnGl, GBSlm30SpryMtGl, GBSlm30SpryCu</t>
        </is>
      </c>
      <c r="O259" s="25" t="inlineStr">
        <is>
          <t>https://www.bestbottles.com/product/slim-design-30-ml-glass-bottle-shiny-black-spray-pump-and-cap</t>
        </is>
      </c>
      <c r="P259" s="23" t="inlineStr">
        <is>
          <t>No</t>
        </is>
      </c>
      <c r="Q259" s="24" t="n"/>
      <c r="R259" s="24" t="n">
        <v>6</v>
      </c>
      <c r="S259" s="24" t="n">
        <v>2.5</v>
      </c>
      <c r="T259" s="24" t="n">
        <v>2.5</v>
      </c>
      <c r="U259" s="24" t="n"/>
      <c r="V259" s="24" t="n"/>
      <c r="W259" s="24" t="n"/>
      <c r="X259" s="24" t="n"/>
    </row>
    <row r="260" ht="15" customHeight="1" s="19">
      <c r="A260" s="21" t="n">
        <v>259</v>
      </c>
      <c r="B260" s="21" t="inlineStr">
        <is>
          <t>Slim</t>
        </is>
      </c>
      <c r="C260" s="21" t="n">
        <v>30</v>
      </c>
      <c r="D260" s="21" t="inlineStr">
        <is>
          <t>Clear</t>
        </is>
      </c>
      <c r="E260" s="21" t="inlineStr">
        <is>
          <t>Reducer</t>
        </is>
      </c>
      <c r="F260" s="21" t="inlineStr">
        <is>
          <t>18-415</t>
        </is>
      </c>
      <c r="G260" s="21" t="inlineStr">
        <is>
          <t>30 ml Clear Slim Reducer Bottle</t>
        </is>
      </c>
      <c r="H260" s="21" t="inlineStr">
        <is>
          <t>Glass Bottle</t>
        </is>
      </c>
      <c r="I260" s="21" t="inlineStr">
        <is>
          <t>Slim</t>
        </is>
      </c>
      <c r="J260" s="21" t="inlineStr">
        <is>
          <t>slim-30ml-clear-18-415-reducer</t>
        </is>
      </c>
      <c r="K260" s="21" t="inlineStr">
        <is>
          <t>kh7dpkv8pybpbyt7wpad7a303x83jvae</t>
        </is>
      </c>
      <c r="L260" s="21" t="inlineStr">
        <is>
          <t>GB-SLM-CLR-30ML-RDC-BKLT</t>
        </is>
      </c>
      <c r="M260" s="21" t="inlineStr">
        <is>
          <t>GBSlm30RdcrBlkLthr</t>
        </is>
      </c>
      <c r="N260" s="21" t="inlineStr">
        <is>
          <t>GBSlm30RdcrBlkLthr, GBSlm30RdcrShnGl, GBSlm30RdcrShnBlkTall, GBSlm30RdcrShnBlk, GBSlm30RdcrBrwnLthr, GBSlm30RdcrLBrwnLthr, GBSlm30RdcrShnSl, GBSlm30RdcrMtSlTall, GBSlm30RdcrMtSl, GBSlm30RdcrWht, GBSlm30RdcrPnkLthr, GBSlm30RdcrIvyLthr</t>
        </is>
      </c>
      <c r="O260" s="22" t="inlineStr">
        <is>
          <t>https://www.bestbottles.com/product/slim-design-30-ml-glass-bottle-reducer-black-faux-leather-cap</t>
        </is>
      </c>
      <c r="P260" s="23" t="inlineStr">
        <is>
          <t>No</t>
        </is>
      </c>
      <c r="Q260" s="21" t="n"/>
      <c r="R260" s="21" t="n">
        <v>12</v>
      </c>
      <c r="S260" s="21" t="n">
        <v>1.47</v>
      </c>
      <c r="T260" s="21" t="n">
        <v>1.75</v>
      </c>
      <c r="U260" s="21" t="n"/>
      <c r="V260" s="21" t="n"/>
      <c r="W260" s="21" t="n"/>
      <c r="X260" s="21" t="n"/>
    </row>
    <row r="261" ht="15" customHeight="1" s="19">
      <c r="A261" s="24" t="n">
        <v>260</v>
      </c>
      <c r="B261" s="24" t="inlineStr">
        <is>
          <t>Slim</t>
        </is>
      </c>
      <c r="C261" s="24" t="n">
        <v>30</v>
      </c>
      <c r="D261" s="24" t="inlineStr">
        <is>
          <t>Clear</t>
        </is>
      </c>
      <c r="E261" s="24" t="inlineStr">
        <is>
          <t>Vintage Bulb Sprayer</t>
        </is>
      </c>
      <c r="F261" s="24" t="inlineStr">
        <is>
          <t>18-415</t>
        </is>
      </c>
      <c r="G261" s="24" t="inlineStr">
        <is>
          <t>30 ml Clear Slim Vintage Bulb Spray Bottle</t>
        </is>
      </c>
      <c r="H261" s="24" t="inlineStr">
        <is>
          <t>Glass Bottle</t>
        </is>
      </c>
      <c r="I261" s="24" t="inlineStr">
        <is>
          <t>Slim</t>
        </is>
      </c>
      <c r="J261" s="24" t="inlineStr">
        <is>
          <t>slim-30ml-clear-18-415-antiquespray</t>
        </is>
      </c>
      <c r="K261" s="24" t="inlineStr">
        <is>
          <t>kh7cvwgqg0hcwa3vh8spgmt50n83j7qv</t>
        </is>
      </c>
      <c r="L261" s="24" t="inlineStr">
        <is>
          <t>GB-SLM-CLR-30ML-ASP-BLK</t>
        </is>
      </c>
      <c r="M261" s="24" t="inlineStr">
        <is>
          <t>GBSlm30AnSpBlk</t>
        </is>
      </c>
      <c r="N261" s="24" t="inlineStr">
        <is>
          <t>GBSlm30AnSpBlk, GBSlm30AnSpLvn, GBSlm30AnSpPnk, GBSlm30AnSpMtSl, GBSlm30AnSpIvySl, GBSlm30AnSpGl, GBSlm30AnSpIvyGl, GBSlm30AnSpWht, GBSlm30AnSpRed</t>
        </is>
      </c>
      <c r="O261" s="25" t="inlineStr">
        <is>
          <t>https://www.bestbottles.com/product/slim-design-30-ml-glass-bottle-black-vintage-style-bulb-sprayer-shiny-silver-collar-cap</t>
        </is>
      </c>
      <c r="P261" s="23" t="inlineStr">
        <is>
          <t>No</t>
        </is>
      </c>
      <c r="Q261" s="24" t="n"/>
      <c r="R261" s="24" t="n">
        <v>9</v>
      </c>
      <c r="S261" s="24" t="n">
        <v>5.35</v>
      </c>
      <c r="T261" s="24" t="n">
        <v>5.35</v>
      </c>
      <c r="U261" s="24" t="n"/>
      <c r="V261" s="24" t="n"/>
      <c r="W261" s="24" t="n"/>
      <c r="X261" s="24" t="n"/>
    </row>
    <row r="262" ht="15" customHeight="1" s="19">
      <c r="A262" s="21" t="n">
        <v>261</v>
      </c>
      <c r="B262" s="21" t="inlineStr">
        <is>
          <t>Slim</t>
        </is>
      </c>
      <c r="C262" s="21" t="n">
        <v>50</v>
      </c>
      <c r="D262" s="21" t="inlineStr">
        <is>
          <t>Clear</t>
        </is>
      </c>
      <c r="E262" s="21" t="inlineStr">
        <is>
          <t>Lotion Pump</t>
        </is>
      </c>
      <c r="F262" s="21" t="inlineStr">
        <is>
          <t>18-415</t>
        </is>
      </c>
      <c r="G262" s="21" t="inlineStr">
        <is>
          <t>50 ml Clear Slim Lotion Pump Bottle</t>
        </is>
      </c>
      <c r="H262" s="21" t="inlineStr">
        <is>
          <t>Glass Bottle</t>
        </is>
      </c>
      <c r="I262" s="21" t="inlineStr">
        <is>
          <t>Slim</t>
        </is>
      </c>
      <c r="J262" s="21" t="inlineStr">
        <is>
          <t>slim-50ml-clear-18-415-lotionpump</t>
        </is>
      </c>
      <c r="K262" s="21" t="inlineStr">
        <is>
          <t>kh7ewxgw65kkbeen7xzq4vgr4183j953</t>
        </is>
      </c>
      <c r="L262" s="21" t="inlineStr">
        <is>
          <t>LB-SLM-CLR-50ML-LPM-SBLK</t>
        </is>
      </c>
      <c r="M262" s="21" t="inlineStr">
        <is>
          <t>LBSlm50LtnShnBlk</t>
        </is>
      </c>
      <c r="N262" s="21" t="inlineStr">
        <is>
          <t>LBSlm50LtnShnBlk, LBSlm50LtnShnGl, LBSlm50LtnShnSl, LBSlm50LtnMtGl, LBSlm50LtnMtSl, LBSlm50LtnCu</t>
        </is>
      </c>
      <c r="O262" s="22" t="inlineStr">
        <is>
          <t>https://www.bestbottles.com/product/slim-design-50-ml-glass-bottle-shiny-black-lotion-pump-and-cap</t>
        </is>
      </c>
      <c r="P262" s="23" t="inlineStr">
        <is>
          <t>No</t>
        </is>
      </c>
      <c r="Q262" s="21" t="n"/>
      <c r="R262" s="21" t="n">
        <v>7</v>
      </c>
      <c r="S262" s="21" t="n">
        <v>2.7</v>
      </c>
      <c r="T262" s="21" t="n">
        <v>2.7</v>
      </c>
      <c r="U262" s="21" t="n"/>
      <c r="V262" s="21" t="n"/>
      <c r="W262" s="21" t="n"/>
      <c r="X262" s="21" t="n"/>
    </row>
    <row r="263" ht="15" customHeight="1" s="19">
      <c r="A263" s="24" t="n">
        <v>262</v>
      </c>
      <c r="B263" s="24" t="inlineStr">
        <is>
          <t>Slim</t>
        </is>
      </c>
      <c r="C263" s="24" t="n">
        <v>50</v>
      </c>
      <c r="D263" s="24" t="inlineStr">
        <is>
          <t>Clear</t>
        </is>
      </c>
      <c r="E263" s="24" t="inlineStr">
        <is>
          <t>Perfume Spray Pump</t>
        </is>
      </c>
      <c r="F263" s="24" t="inlineStr">
        <is>
          <t>18-415</t>
        </is>
      </c>
      <c r="G263" s="24" t="inlineStr">
        <is>
          <t>50 ml Clear Slim Bottle</t>
        </is>
      </c>
      <c r="H263" s="24" t="inlineStr">
        <is>
          <t>Glass Bottle</t>
        </is>
      </c>
      <c r="I263" s="24" t="inlineStr">
        <is>
          <t>Slim</t>
        </is>
      </c>
      <c r="J263" s="24" t="inlineStr">
        <is>
          <t>slim-50ml-clear-18-415-perfumespray</t>
        </is>
      </c>
      <c r="K263" s="24" t="inlineStr">
        <is>
          <t>kh77swy6fnrj1cjgrtyc59edsn83jetd</t>
        </is>
      </c>
      <c r="L263" s="24" t="inlineStr">
        <is>
          <t>GB-SLM-CLR-50ML-SPR-SGLD</t>
        </is>
      </c>
      <c r="M263" s="24" t="inlineStr">
        <is>
          <t>GBSlm50SpryShnGl</t>
        </is>
      </c>
      <c r="N263" s="24" t="inlineStr">
        <is>
          <t>GBSlm50SpryShnGl, GBSlm50SpryShnSl, GBSlm50SpryMtSl, GBSlm50SpryShnBlk, GBSlm50SpryMtGl, GBSlm50SpryCu</t>
        </is>
      </c>
      <c r="O263" s="25" t="inlineStr">
        <is>
          <t>https://www.bestbottles.com/product/slim-design-50-ml-glass-bottle-shiny-gold-spray-pump-and-cap</t>
        </is>
      </c>
      <c r="P263" s="23" t="inlineStr">
        <is>
          <t>No</t>
        </is>
      </c>
      <c r="Q263" s="24" t="n"/>
      <c r="R263" s="24" t="n">
        <v>6</v>
      </c>
      <c r="S263" s="24" t="n">
        <v>2.7</v>
      </c>
      <c r="T263" s="24" t="n">
        <v>2.7</v>
      </c>
      <c r="U263" s="24" t="n"/>
      <c r="V263" s="24" t="n"/>
      <c r="W263" s="24" t="n"/>
      <c r="X263" s="24" t="n"/>
    </row>
    <row r="264" ht="15" customHeight="1" s="19">
      <c r="A264" s="21" t="n">
        <v>263</v>
      </c>
      <c r="B264" s="21" t="inlineStr">
        <is>
          <t>Slim</t>
        </is>
      </c>
      <c r="C264" s="21" t="n">
        <v>50</v>
      </c>
      <c r="D264" s="21" t="inlineStr">
        <is>
          <t>Clear</t>
        </is>
      </c>
      <c r="E264" s="21" t="inlineStr">
        <is>
          <t>Reducer</t>
        </is>
      </c>
      <c r="F264" s="21" t="inlineStr">
        <is>
          <t>18-415</t>
        </is>
      </c>
      <c r="G264" s="21" t="inlineStr">
        <is>
          <t>50 ml Clear Slim Reducer Bottle</t>
        </is>
      </c>
      <c r="H264" s="21" t="inlineStr">
        <is>
          <t>Glass Bottle</t>
        </is>
      </c>
      <c r="I264" s="21" t="inlineStr">
        <is>
          <t>Slim</t>
        </is>
      </c>
      <c r="J264" s="21" t="inlineStr">
        <is>
          <t>slim-50ml-clear-18-415-reducer</t>
        </is>
      </c>
      <c r="K264" s="21" t="inlineStr">
        <is>
          <t>kh72gdjs9j46jew892sym3r4fn83k7yf</t>
        </is>
      </c>
      <c r="L264" s="21" t="inlineStr">
        <is>
          <t>GB-SLM-CLR-50ML-RDC-BKLT</t>
        </is>
      </c>
      <c r="M264" s="21" t="inlineStr">
        <is>
          <t>GBSlm50RdcrBlkLthr</t>
        </is>
      </c>
      <c r="N264" s="21" t="inlineStr">
        <is>
          <t>GBSlm50RdcrBlkLthr, GBSlm50RdcrIvyLthr, GBSlm50RdcrPnkLthr, GBSlm50RdcrShnGl, GBSlm50RdcrShnBlkTall, GBSlm50RdcrShnBlk, GBSlm50RdcrBrwnLthr, GBSlm50RdcrLBrwnLthr, GBSlm50RdcrShnSl, GBSlm50RdcrMtSlTall, GBSlm50RdcrMtSl, GBSlm50RdcrWht</t>
        </is>
      </c>
      <c r="O264" s="22" t="inlineStr">
        <is>
          <t>https://www.bestbottles.com/product/slim-design-50-ml-glass-bottle-reducer-black-faux-leather-cap</t>
        </is>
      </c>
      <c r="P264" s="23" t="inlineStr">
        <is>
          <t>No</t>
        </is>
      </c>
      <c r="Q264" s="21" t="n"/>
      <c r="R264" s="21" t="n">
        <v>12</v>
      </c>
      <c r="S264" s="21" t="n">
        <v>1.67</v>
      </c>
      <c r="T264" s="21" t="n">
        <v>1.95</v>
      </c>
      <c r="U264" s="21" t="n"/>
      <c r="V264" s="21" t="n"/>
      <c r="W264" s="21" t="n"/>
      <c r="X264" s="21" t="n"/>
    </row>
    <row r="265" ht="15" customHeight="1" s="19">
      <c r="A265" s="24" t="n">
        <v>264</v>
      </c>
      <c r="B265" s="24" t="inlineStr">
        <is>
          <t>Slim</t>
        </is>
      </c>
      <c r="C265" s="24" t="n">
        <v>50</v>
      </c>
      <c r="D265" s="24" t="inlineStr">
        <is>
          <t>Clear</t>
        </is>
      </c>
      <c r="E265" s="24" t="inlineStr">
        <is>
          <t>Vintage Bulb Sprayer</t>
        </is>
      </c>
      <c r="F265" s="24" t="inlineStr">
        <is>
          <t>18-415</t>
        </is>
      </c>
      <c r="G265" s="24" t="inlineStr">
        <is>
          <t>50 ml Clear Slim Vintage Bulb Spray Bottle</t>
        </is>
      </c>
      <c r="H265" s="24" t="inlineStr">
        <is>
          <t>Glass Bottle</t>
        </is>
      </c>
      <c r="I265" s="24" t="inlineStr">
        <is>
          <t>Slim</t>
        </is>
      </c>
      <c r="J265" s="24" t="inlineStr">
        <is>
          <t>slim-50ml-clear-18-415-antiquespray</t>
        </is>
      </c>
      <c r="K265" s="24" t="inlineStr">
        <is>
          <t>kh78ymvrtb20gsnq30m53ht1bd83jz5f</t>
        </is>
      </c>
      <c r="L265" s="24" t="inlineStr">
        <is>
          <t>GB-SLM-CLR-50ML-ASP-PNK</t>
        </is>
      </c>
      <c r="M265" s="24" t="inlineStr">
        <is>
          <t>GBSlm50AnSpPnk</t>
        </is>
      </c>
      <c r="N265" s="24" t="inlineStr">
        <is>
          <t>GBSlm50AnSpPnk, GBSlm50AnSpGl, GBSlm50AnSpLvn, GBSlm50AnSpIvyGl, GBSlm50AnSpRed, GBSlm50AnSpMtSl, GBSlm50AnSpWht, GBSlm50AnSpIvySl, GBSlm50AnSpBlk</t>
        </is>
      </c>
      <c r="O265" s="25" t="inlineStr">
        <is>
          <t>https://www.bestbottles.com/product/slim-design-50-ml-glass-bottle-pink-vintage-style-bulb-sprayer-shiny-gold-collar-cap</t>
        </is>
      </c>
      <c r="P265" s="23" t="inlineStr">
        <is>
          <t>No</t>
        </is>
      </c>
      <c r="Q265" s="24" t="n"/>
      <c r="R265" s="24" t="n">
        <v>9</v>
      </c>
      <c r="S265" s="24" t="n">
        <v>5.55</v>
      </c>
      <c r="T265" s="24" t="n">
        <v>5.55</v>
      </c>
      <c r="U265" s="24" t="n"/>
      <c r="V265" s="24" t="n"/>
      <c r="W265" s="24" t="n"/>
      <c r="X265" s="24" t="n"/>
    </row>
    <row r="266" ht="15" customHeight="1" s="19">
      <c r="A266" s="21" t="n">
        <v>265</v>
      </c>
      <c r="B266" s="21" t="inlineStr">
        <is>
          <t>Slim</t>
        </is>
      </c>
      <c r="C266" s="21" t="n">
        <v>50</v>
      </c>
      <c r="D266" s="21" t="inlineStr">
        <is>
          <t>Clear</t>
        </is>
      </c>
      <c r="E266" s="21" t="inlineStr">
        <is>
          <t>Vintage Bulb Sprayer with Tassel</t>
        </is>
      </c>
      <c r="F266" s="21" t="inlineStr">
        <is>
          <t>18-415</t>
        </is>
      </c>
      <c r="G266" s="21" t="inlineStr">
        <is>
          <t>50 ml Clear Slim Vintage Bulb Spray Bottle with Tassel</t>
        </is>
      </c>
      <c r="H266" s="21" t="inlineStr">
        <is>
          <t>Glass Bottle</t>
        </is>
      </c>
      <c r="I266" s="21" t="inlineStr">
        <is>
          <t>Slim</t>
        </is>
      </c>
      <c r="J266" s="21" t="inlineStr">
        <is>
          <t>slim-50ml-clear-18-415-antiquespray-tassel</t>
        </is>
      </c>
      <c r="K266" s="21" t="inlineStr">
        <is>
          <t>kh7c351989zve5dw9ssttsnaa183j26b</t>
        </is>
      </c>
      <c r="L266" s="21" t="inlineStr">
        <is>
          <t>GB-SLM-CLR-50ML-AST-GLD</t>
        </is>
      </c>
      <c r="M266" s="21" t="inlineStr">
        <is>
          <t>GBSlm50AnSpTslGl</t>
        </is>
      </c>
      <c r="N266" s="21" t="inlineStr">
        <is>
          <t>GBSlm50AnSpTslGl, GBSlm50AnSpTslIvyGl, GBSlm50AnSpTslLvn, GBSlm50AnSpTslPnk, GBSlm50AnSpTslIvySl, GBSlm50AnSpTslRed, GBSlm50AnSpTslWht, GBSlm50AnSpTslMtSl, GBSlm50AnSpTslBlk</t>
        </is>
      </c>
      <c r="O266" s="22" t="inlineStr">
        <is>
          <t>https://www.bestbottles.com/product/slim-design-50-ml-glass-bottle-gold-vintage-style-sprayer-with-tassel-shiny-gold-collar</t>
        </is>
      </c>
      <c r="P266" s="23" t="inlineStr">
        <is>
          <t>No</t>
        </is>
      </c>
      <c r="Q266" s="21" t="n"/>
      <c r="R266" s="21" t="n">
        <v>9</v>
      </c>
      <c r="S266" s="21" t="n">
        <v>6.3</v>
      </c>
      <c r="T266" s="21" t="n">
        <v>6.3</v>
      </c>
      <c r="U266" s="21" t="n"/>
      <c r="V266" s="21" t="n"/>
      <c r="W266" s="21" t="n"/>
      <c r="X266" s="21" t="n"/>
    </row>
    <row r="267" ht="15" customHeight="1" s="19">
      <c r="A267" s="24" t="n">
        <v>266</v>
      </c>
      <c r="B267" s="24" t="inlineStr">
        <is>
          <t>Slim</t>
        </is>
      </c>
      <c r="C267" s="24" t="n">
        <v>100</v>
      </c>
      <c r="D267" s="24" t="inlineStr">
        <is>
          <t>Clear</t>
        </is>
      </c>
      <c r="E267" s="24" t="inlineStr">
        <is>
          <t>Lotion Pump</t>
        </is>
      </c>
      <c r="F267" s="24" t="inlineStr">
        <is>
          <t>18-415</t>
        </is>
      </c>
      <c r="G267" s="24" t="inlineStr">
        <is>
          <t>100 ml Clear Slim Lotion Pump Bottle</t>
        </is>
      </c>
      <c r="H267" s="24" t="inlineStr">
        <is>
          <t>Glass Bottle</t>
        </is>
      </c>
      <c r="I267" s="24" t="inlineStr">
        <is>
          <t>Slim</t>
        </is>
      </c>
      <c r="J267" s="24" t="inlineStr">
        <is>
          <t>slim-100ml-clear-18-415-lotionpump</t>
        </is>
      </c>
      <c r="K267" s="24" t="inlineStr">
        <is>
          <t>kh7bsrg71b7w29gqay5j93hhvh83k456</t>
        </is>
      </c>
      <c r="L267" s="24" t="inlineStr">
        <is>
          <t>LB-SLM-CLR-100ML-LPM-CPR</t>
        </is>
      </c>
      <c r="M267" s="24" t="inlineStr">
        <is>
          <t>LBSlm100LtnCu</t>
        </is>
      </c>
      <c r="N267" s="24" t="inlineStr">
        <is>
          <t>LBSlm100LtnCu</t>
        </is>
      </c>
      <c r="O267" s="25" t="inlineStr">
        <is>
          <t>https://www.bestbottles.com/product/slim-design-100-ml-glass-bottle-matte-copper-lotion-pump-and-cap</t>
        </is>
      </c>
      <c r="P267" s="23" t="inlineStr">
        <is>
          <t>No</t>
        </is>
      </c>
      <c r="Q267" s="24" t="n"/>
      <c r="R267" s="24" t="n">
        <v>7</v>
      </c>
      <c r="S267" s="24" t="n">
        <v>3.05</v>
      </c>
      <c r="T267" s="24" t="n">
        <v>3.05</v>
      </c>
      <c r="U267" s="24" t="n"/>
      <c r="V267" s="24" t="n"/>
      <c r="W267" s="24" t="n"/>
      <c r="X267" s="24" t="n"/>
    </row>
    <row r="268" ht="15" customHeight="1" s="19">
      <c r="A268" s="21" t="n">
        <v>267</v>
      </c>
      <c r="B268" s="21" t="inlineStr">
        <is>
          <t>Slim</t>
        </is>
      </c>
      <c r="C268" s="21" t="n">
        <v>100</v>
      </c>
      <c r="D268" s="21" t="inlineStr">
        <is>
          <t>Clear</t>
        </is>
      </c>
      <c r="E268" s="21" t="inlineStr">
        <is>
          <t>Perfume Spray Pump</t>
        </is>
      </c>
      <c r="F268" s="21" t="inlineStr">
        <is>
          <t>18-415</t>
        </is>
      </c>
      <c r="G268" s="21" t="inlineStr">
        <is>
          <t>100 ml Clear Slim Bottle</t>
        </is>
      </c>
      <c r="H268" s="21" t="inlineStr">
        <is>
          <t>Glass Bottle</t>
        </is>
      </c>
      <c r="I268" s="21" t="inlineStr">
        <is>
          <t>Slim</t>
        </is>
      </c>
      <c r="J268" s="21" t="inlineStr">
        <is>
          <t>slim-100ml-clear-18-415-perfumespray</t>
        </is>
      </c>
      <c r="K268" s="21" t="inlineStr">
        <is>
          <t>kh7c2cq7nba6y5nz8jxx4kg14h83jmx8</t>
        </is>
      </c>
      <c r="L268" s="21" t="inlineStr">
        <is>
          <t>GB-SLM-CLR-100ML-SPR-CPR</t>
        </is>
      </c>
      <c r="M268" s="21" t="inlineStr">
        <is>
          <t>GBSlm100SpryCu</t>
        </is>
      </c>
      <c r="N268" s="21" t="inlineStr">
        <is>
          <t>GBSlm100SpryCu, GBSlm100SpryShnSl, GBSlm100SpryShnGl, GBSlm100SpryMtSl, GBSlm100SpryMtGl, GBSlm100SpryShnBlk</t>
        </is>
      </c>
      <c r="O268" s="22" t="inlineStr">
        <is>
          <t>https://www.bestbottles.com/product/slim-design-100-ml-glass-bottle-matte-copper-spray-and-cap</t>
        </is>
      </c>
      <c r="P268" s="23" t="inlineStr">
        <is>
          <t>No</t>
        </is>
      </c>
      <c r="Q268" s="21" t="n"/>
      <c r="R268" s="21" t="n">
        <v>6</v>
      </c>
      <c r="S268" s="21" t="n">
        <v>3.05</v>
      </c>
      <c r="T268" s="21" t="n">
        <v>3.05</v>
      </c>
      <c r="U268" s="21" t="n"/>
      <c r="V268" s="21" t="n"/>
      <c r="W268" s="21" t="n"/>
      <c r="X268" s="21" t="n"/>
    </row>
    <row r="269" ht="15" customHeight="1" s="19">
      <c r="A269" s="24" t="n">
        <v>268</v>
      </c>
      <c r="B269" s="24" t="inlineStr">
        <is>
          <t>Slim</t>
        </is>
      </c>
      <c r="C269" s="24" t="n">
        <v>100</v>
      </c>
      <c r="D269" s="24" t="inlineStr">
        <is>
          <t>Clear</t>
        </is>
      </c>
      <c r="E269" s="24" t="inlineStr">
        <is>
          <t>Reducer</t>
        </is>
      </c>
      <c r="F269" s="24" t="inlineStr">
        <is>
          <t>18-415</t>
        </is>
      </c>
      <c r="G269" s="24" t="inlineStr">
        <is>
          <t>100 ml Clear Slim Reducer Bottle</t>
        </is>
      </c>
      <c r="H269" s="24" t="inlineStr">
        <is>
          <t>Glass Bottle</t>
        </is>
      </c>
      <c r="I269" s="24" t="inlineStr">
        <is>
          <t>Slim</t>
        </is>
      </c>
      <c r="J269" s="24" t="inlineStr">
        <is>
          <t>slim-100ml-clear-18-415-reducer</t>
        </is>
      </c>
      <c r="K269" s="24" t="inlineStr">
        <is>
          <t>kh73hgsykr0fr289yeyy8ssfr183jgqf</t>
        </is>
      </c>
      <c r="L269" s="24" t="inlineStr">
        <is>
          <t>GB-SLM-CLR-100ML-RDC-IVLT</t>
        </is>
      </c>
      <c r="M269" s="24" t="inlineStr">
        <is>
          <t>GBSlm100RdcrIvyLthr</t>
        </is>
      </c>
      <c r="N269" s="24" t="inlineStr">
        <is>
          <t>GBSlm100RdcrIvyLthr, GBSlm100RdcrPnkLthr, GBSlm100RdcrShnGl, GBSlm100RdcrShnBlkTall, GBSlm100RdcrShnBlk, GBSlm100RdcrBrwnLthr, GBSlm100RdcrLBrwnLthr, GBSlm100RdcrShnSl, GBSlm100RdcrMtSlTall, GBSlm100RdcrMtSl, GBSlm100RdcrWht, GBSlm100RdcrBlkLthr</t>
        </is>
      </c>
      <c r="O269" s="25" t="inlineStr">
        <is>
          <t>https://www.bestbottles.com/product/slim-design-100-ml-glass-bottle-reducer-ivory-faux-leather-cap</t>
        </is>
      </c>
      <c r="P269" s="23" t="inlineStr">
        <is>
          <t>No</t>
        </is>
      </c>
      <c r="Q269" s="24" t="n"/>
      <c r="R269" s="24" t="n">
        <v>12</v>
      </c>
      <c r="S269" s="24" t="n">
        <v>2.02</v>
      </c>
      <c r="T269" s="24" t="n">
        <v>2.3</v>
      </c>
      <c r="U269" s="24" t="n"/>
      <c r="V269" s="24" t="n"/>
      <c r="W269" s="24" t="n"/>
      <c r="X269" s="24" t="n"/>
    </row>
    <row r="270" ht="15" customHeight="1" s="19">
      <c r="A270" s="21" t="n">
        <v>269</v>
      </c>
      <c r="B270" s="21" t="inlineStr">
        <is>
          <t>Slim</t>
        </is>
      </c>
      <c r="C270" s="21" t="n">
        <v>100</v>
      </c>
      <c r="D270" s="21" t="inlineStr">
        <is>
          <t>Clear</t>
        </is>
      </c>
      <c r="E270" s="21" t="inlineStr">
        <is>
          <t>Vintage Bulb Sprayer</t>
        </is>
      </c>
      <c r="F270" s="21" t="inlineStr">
        <is>
          <t>18-415</t>
        </is>
      </c>
      <c r="G270" s="21" t="inlineStr">
        <is>
          <t>100 ml Clear Slim Vintage Bulb Spray Bottle</t>
        </is>
      </c>
      <c r="H270" s="21" t="inlineStr">
        <is>
          <t>Glass Bottle</t>
        </is>
      </c>
      <c r="I270" s="21" t="inlineStr">
        <is>
          <t>Slim</t>
        </is>
      </c>
      <c r="J270" s="21" t="inlineStr">
        <is>
          <t>slim-100ml-clear-18-415-antiquespray</t>
        </is>
      </c>
      <c r="K270" s="21" t="inlineStr">
        <is>
          <t>kh7ene6fy02r3k8t8srxfe0pqs83jprq</t>
        </is>
      </c>
      <c r="L270" s="21" t="inlineStr">
        <is>
          <t>GB-SLM-CLR-100ML-ASP-BLK</t>
        </is>
      </c>
      <c r="M270" s="21" t="inlineStr">
        <is>
          <t>GBSlm100AnSpBlk</t>
        </is>
      </c>
      <c r="N270" s="21" t="inlineStr">
        <is>
          <t>GBSlm100AnSpBlk, GBSlm100AnSpPnk</t>
        </is>
      </c>
      <c r="O270" s="22" t="inlineStr">
        <is>
          <t>https://www.bestbottles.com/product/slim-design-100-ml-glass-bottle-black-vintage-style-bulb-sprayer-shiny-silver-collar-cap</t>
        </is>
      </c>
      <c r="P270" s="23" t="inlineStr">
        <is>
          <t>No</t>
        </is>
      </c>
      <c r="Q270" s="21" t="n"/>
      <c r="R270" s="21" t="n">
        <v>9</v>
      </c>
      <c r="S270" s="21" t="n">
        <v>5.9</v>
      </c>
      <c r="T270" s="21" t="n">
        <v>5.9</v>
      </c>
      <c r="U270" s="21" t="n"/>
      <c r="V270" s="21" t="n"/>
      <c r="W270" s="21" t="n"/>
      <c r="X270" s="21" t="n"/>
    </row>
    <row r="271" ht="15" customHeight="1" s="19">
      <c r="A271" s="24" t="n">
        <v>270</v>
      </c>
      <c r="B271" s="24" t="inlineStr">
        <is>
          <t>Slim</t>
        </is>
      </c>
      <c r="C271" s="24" t="n">
        <v>100</v>
      </c>
      <c r="D271" s="24" t="inlineStr">
        <is>
          <t>Clear</t>
        </is>
      </c>
      <c r="E271" s="24" t="inlineStr">
        <is>
          <t>Vintage Bulb Sprayer with Tassel</t>
        </is>
      </c>
      <c r="F271" s="24" t="inlineStr">
        <is>
          <t>18-415</t>
        </is>
      </c>
      <c r="G271" s="24" t="inlineStr">
        <is>
          <t>100 ml Clear Slim Vintage Bulb Spray Bottle with Tassel</t>
        </is>
      </c>
      <c r="H271" s="24" t="inlineStr">
        <is>
          <t>Glass Bottle</t>
        </is>
      </c>
      <c r="I271" s="24" t="inlineStr">
        <is>
          <t>Slim</t>
        </is>
      </c>
      <c r="J271" s="24" t="inlineStr">
        <is>
          <t>slim-100ml-clear-18-415-antiquespray-tassel</t>
        </is>
      </c>
      <c r="K271" s="24" t="inlineStr">
        <is>
          <t>kh7161851c9qfbr48gbh6yfzp583jvz9</t>
        </is>
      </c>
      <c r="L271" s="24" t="inlineStr">
        <is>
          <t>GB-SLM-CLR-100ML-AST-BLK</t>
        </is>
      </c>
      <c r="M271" s="24" t="inlineStr">
        <is>
          <t>GBSlm100AnSpTslBlk</t>
        </is>
      </c>
      <c r="N271" s="24" t="inlineStr">
        <is>
          <t>GBSlm100AnSpTslBlk</t>
        </is>
      </c>
      <c r="O271" s="25" t="inlineStr">
        <is>
          <t>https://www.bestbottles.com/product/slim-design-100-ml-glass-bottle-black-vintage-style-sprayer-with-tassel-shiny-silver-collar</t>
        </is>
      </c>
      <c r="P271" s="23" t="inlineStr">
        <is>
          <t>No</t>
        </is>
      </c>
      <c r="Q271" s="24" t="n"/>
      <c r="R271" s="24" t="n">
        <v>9</v>
      </c>
      <c r="S271" s="24" t="n">
        <v>6.65</v>
      </c>
      <c r="T271" s="24" t="n">
        <v>6.65</v>
      </c>
      <c r="U271" s="24" t="n"/>
      <c r="V271" s="24" t="n"/>
      <c r="W271" s="24" t="n"/>
      <c r="X271" s="24" t="n"/>
    </row>
    <row r="272" ht="15" customHeight="1" s="19">
      <c r="A272" s="21" t="n">
        <v>271</v>
      </c>
      <c r="B272" s="21" t="inlineStr">
        <is>
          <t>Square</t>
        </is>
      </c>
      <c r="C272" s="21" t="n">
        <v>15</v>
      </c>
      <c r="D272" s="21" t="inlineStr">
        <is>
          <t>Clear</t>
        </is>
      </c>
      <c r="E272" s="21" t="inlineStr">
        <is>
          <t>Cap/Closure</t>
        </is>
      </c>
      <c r="F272" s="21" t="inlineStr">
        <is>
          <t>13-415</t>
        </is>
      </c>
      <c r="G272" s="21" t="inlineStr">
        <is>
          <t>15 ml Clear Square Bottle with Cap</t>
        </is>
      </c>
      <c r="H272" s="21" t="inlineStr">
        <is>
          <t>Glass Bottle</t>
        </is>
      </c>
      <c r="I272" s="21" t="inlineStr">
        <is>
          <t>Square</t>
        </is>
      </c>
      <c r="J272" s="21" t="inlineStr">
        <is>
          <t>square-15ml-clear-13-415</t>
        </is>
      </c>
      <c r="K272" s="21" t="inlineStr">
        <is>
          <t>kh73kw5s8tvz9qb4ndfkw3erd983j7p5</t>
        </is>
      </c>
      <c r="L272" s="21" t="inlineStr">
        <is>
          <t>GB-SQR-CLR-15ML-S</t>
        </is>
      </c>
      <c r="M272" s="21" t="inlineStr">
        <is>
          <t>GBSqr15BlkSht</t>
        </is>
      </c>
      <c r="N272" s="21" t="inlineStr">
        <is>
          <t>GBSqr15BlkSht, GBSqr15Gl, GBSqr15Sl, GBSqr15WhtSht</t>
        </is>
      </c>
      <c r="O272" s="22" t="inlineStr">
        <is>
          <t>https://www.bestbottles.com/product/square-design-15-ml-glass-bottle-short-black-cap</t>
        </is>
      </c>
      <c r="P272" s="23" t="inlineStr">
        <is>
          <t>No</t>
        </is>
      </c>
      <c r="Q272" s="21" t="n"/>
      <c r="R272" s="21" t="n">
        <v>4</v>
      </c>
      <c r="S272" s="21" t="n">
        <v>0.44</v>
      </c>
      <c r="T272" s="21" t="n">
        <v>0.62</v>
      </c>
      <c r="U272" s="21" t="n"/>
      <c r="V272" s="21" t="n"/>
      <c r="W272" s="21" t="n"/>
      <c r="X272" s="21" t="n"/>
    </row>
    <row r="273" ht="15" customHeight="1" s="19">
      <c r="A273" s="24" t="n">
        <v>272</v>
      </c>
      <c r="B273" s="24" t="inlineStr">
        <is>
          <t>Square</t>
        </is>
      </c>
      <c r="C273" s="24" t="n">
        <v>15</v>
      </c>
      <c r="D273" s="24" t="inlineStr">
        <is>
          <t>Clear</t>
        </is>
      </c>
      <c r="E273" s="24" t="inlineStr">
        <is>
          <t>Fine Mist Sprayer</t>
        </is>
      </c>
      <c r="F273" s="24" t="inlineStr">
        <is>
          <t>13-415</t>
        </is>
      </c>
      <c r="G273" s="24" t="inlineStr">
        <is>
          <t>15 ml Clear Square Fine Mist Spray Bottle</t>
        </is>
      </c>
      <c r="H273" s="24" t="inlineStr">
        <is>
          <t>Glass Bottle</t>
        </is>
      </c>
      <c r="I273" s="24" t="inlineStr">
        <is>
          <t>Square</t>
        </is>
      </c>
      <c r="J273" s="24" t="inlineStr">
        <is>
          <t>square-15ml-clear-13-415-finemist</t>
        </is>
      </c>
      <c r="K273" s="24" t="inlineStr">
        <is>
          <t>kh74zf3bfzk5rp7t2ynmgzxy3x83jrgv</t>
        </is>
      </c>
      <c r="L273" s="24" t="inlineStr">
        <is>
          <t>GB-SQR-CLR-15ML-SPR-SBLK</t>
        </is>
      </c>
      <c r="M273" s="24" t="inlineStr">
        <is>
          <t>GBSqr15SpryBlkSh</t>
        </is>
      </c>
      <c r="N273" s="24" t="inlineStr">
        <is>
          <t>GBSqr15SpryBlkSh, GBSqr15SpryGlSh, GBSqr15SprySlMatt, GBSqr15SprySlSh, GBSqr15SpryBluMatt, GBSqr15SpryCuMatt, GBSqr15SpryGlMatt</t>
        </is>
      </c>
      <c r="O273" s="25" t="inlineStr">
        <is>
          <t>https://www.bestbottles.com/product/square-design-15-ml-glass-bottle-shiny-black-spray</t>
        </is>
      </c>
      <c r="P273" s="23" t="inlineStr">
        <is>
          <t>No</t>
        </is>
      </c>
      <c r="Q273" s="24" t="n"/>
      <c r="R273" s="24" t="n">
        <v>7</v>
      </c>
      <c r="S273" s="24" t="n">
        <v>0.97</v>
      </c>
      <c r="T273" s="24" t="n">
        <v>0.97</v>
      </c>
      <c r="U273" s="24" t="n"/>
      <c r="V273" s="24" t="n"/>
      <c r="W273" s="24" t="n"/>
      <c r="X273" s="24" t="n"/>
    </row>
    <row r="274" ht="15" customHeight="1" s="19">
      <c r="A274" s="21" t="n">
        <v>273</v>
      </c>
      <c r="B274" s="21" t="inlineStr">
        <is>
          <t>Square</t>
        </is>
      </c>
      <c r="C274" s="21" t="n">
        <v>15</v>
      </c>
      <c r="D274" s="21" t="inlineStr">
        <is>
          <t>Clear</t>
        </is>
      </c>
      <c r="E274" s="21" t="inlineStr">
        <is>
          <t>Metal Roller Ball, Plastic Roller Ball</t>
        </is>
      </c>
      <c r="F274" s="21" t="inlineStr">
        <is>
          <t>13-415</t>
        </is>
      </c>
      <c r="G274" s="21" t="inlineStr">
        <is>
          <t>15 ml Clear Square Roll-On Bottle</t>
        </is>
      </c>
      <c r="H274" s="21" t="inlineStr">
        <is>
          <t>Glass Bottle</t>
        </is>
      </c>
      <c r="I274" s="21" t="inlineStr">
        <is>
          <t>Square</t>
        </is>
      </c>
      <c r="J274" s="21" t="inlineStr">
        <is>
          <t>square-15ml-clear-13-415-rollon</t>
        </is>
      </c>
      <c r="K274" s="21" t="inlineStr">
        <is>
          <t>kh7473acgn17bezn15v49abs0583jrdk</t>
        </is>
      </c>
      <c r="L274" s="21" t="inlineStr">
        <is>
          <t>GB-SQR-CLR-15ML-MRL-SBLK</t>
        </is>
      </c>
      <c r="M274" s="21" t="inlineStr">
        <is>
          <t>GBSqr15MtlRollBlkSh</t>
        </is>
      </c>
      <c r="N274" s="21" t="inlineStr">
        <is>
          <t>GBSqr15MtlRollBlkSh, GBSqr15MtlRollCuMatt, GBSqr15MtlRollGlMatt, GBSqr15MtlRollGlSh, GBSqr15MtlRollPinkDot, GBSqr15MtlRollSlDot, GBSqr15MtlRollSlMatt, GBSqr15MtlRollSlSh, GBSqr15RollSlSh, GBSqr15RollGlSh, GBSqr15RollBlkSh, GBSqr15RollCuMatt, GBSqr15RollGlMatt, GBSqr15RollPinkDot, GBSqr15RollSlDot, GBSqr15RollSlMatt, GBSqr15RollBlkDot, GBSqr15MtlRollBlkDot</t>
        </is>
      </c>
      <c r="O274" s="22" t="inlineStr">
        <is>
          <t>https://www.bestbottles.com/product/square-design-15-ml-glass-bottle-metal-roller-ball-plug-black-shiny-cap</t>
        </is>
      </c>
      <c r="P274" s="23" t="inlineStr">
        <is>
          <t>No</t>
        </is>
      </c>
      <c r="Q274" s="21" t="n"/>
      <c r="R274" s="21" t="n">
        <v>18</v>
      </c>
      <c r="S274" s="21" t="n">
        <v>0.77</v>
      </c>
      <c r="T274" s="21" t="n">
        <v>0.92</v>
      </c>
      <c r="U274" s="21" t="n"/>
      <c r="V274" s="21" t="n"/>
      <c r="W274" s="21" t="n"/>
      <c r="X274" s="21" t="n"/>
    </row>
    <row r="275" ht="15" customHeight="1" s="19">
      <c r="A275" s="24" t="n">
        <v>274</v>
      </c>
      <c r="B275" s="24" t="inlineStr">
        <is>
          <t>Teardrop</t>
        </is>
      </c>
      <c r="C275" s="24" t="n">
        <v>9</v>
      </c>
      <c r="D275" s="24" t="inlineStr">
        <is>
          <t>Clear</t>
        </is>
      </c>
      <c r="E275" s="24" t="inlineStr">
        <is>
          <t>Glass Stopper</t>
        </is>
      </c>
      <c r="F275" s="24" t="inlineStr">
        <is>
          <t>Ground</t>
        </is>
      </c>
      <c r="G275" s="24" t="inlineStr">
        <is>
          <t>9 ml Clear Teardrop Applicator Bottle</t>
        </is>
      </c>
      <c r="H275" s="24" t="inlineStr">
        <is>
          <t>Glass Bottle</t>
        </is>
      </c>
      <c r="I275" s="24" t="inlineStr">
        <is>
          <t>Teardrop</t>
        </is>
      </c>
      <c r="J275" s="24" t="inlineStr">
        <is>
          <t>teardrop-9ml-clear-Ground-glassapplicator</t>
        </is>
      </c>
      <c r="K275" s="24" t="inlineStr">
        <is>
          <t>kh78s3v2vjzw2ac75sp0q94bxn83kf8d</t>
        </is>
      </c>
      <c r="L275" s="24" t="inlineStr">
        <is>
          <t>GB-TRD-CLR-9ML</t>
        </is>
      </c>
      <c r="M275" s="24" t="inlineStr">
        <is>
          <t>GBTRDPClear</t>
        </is>
      </c>
      <c r="N275" s="24" t="inlineStr">
        <is>
          <t>GBTRDPClear</t>
        </is>
      </c>
      <c r="O275" s="25" t="inlineStr">
        <is>
          <t>https://www.bestbottles.com/product/Perfume-small-Bottle-Jar-Teardrop-Clear-glass-stopper</t>
        </is>
      </c>
      <c r="P275" s="23" t="inlineStr">
        <is>
          <t>No</t>
        </is>
      </c>
      <c r="Q275" s="24" t="n"/>
      <c r="R275" s="24" t="n">
        <v>1</v>
      </c>
      <c r="S275" s="24" t="n">
        <v>3.2</v>
      </c>
      <c r="T275" s="24" t="n">
        <v>3.2</v>
      </c>
      <c r="U275" s="24" t="n"/>
      <c r="V275" s="24" t="n"/>
      <c r="W275" s="24" t="n"/>
      <c r="X275" s="24" t="n"/>
    </row>
    <row r="276" ht="15" customHeight="1" s="19">
      <c r="A276" s="21" t="n">
        <v>275</v>
      </c>
      <c r="B276" s="21" t="inlineStr">
        <is>
          <t>Teardrop</t>
        </is>
      </c>
      <c r="C276" s="21" t="n">
        <v>9</v>
      </c>
      <c r="D276" s="21" t="inlineStr">
        <is>
          <t>Cobalt Blue</t>
        </is>
      </c>
      <c r="E276" s="21" t="inlineStr">
        <is>
          <t>Glass Stopper</t>
        </is>
      </c>
      <c r="F276" s="21" t="inlineStr">
        <is>
          <t>Ground</t>
        </is>
      </c>
      <c r="G276" s="21" t="inlineStr">
        <is>
          <t>9 ml Cobalt Blue Teardrop Applicator Bottle</t>
        </is>
      </c>
      <c r="H276" s="21" t="inlineStr">
        <is>
          <t>Glass Bottle</t>
        </is>
      </c>
      <c r="I276" s="21" t="inlineStr">
        <is>
          <t>Teardrop</t>
        </is>
      </c>
      <c r="J276" s="21" t="inlineStr">
        <is>
          <t>teardrop-9ml-cobalt-blue-Ground-glassapplicator</t>
        </is>
      </c>
      <c r="K276" s="21" t="inlineStr">
        <is>
          <t>kh7cxk6bvktengzm826x3r4pv983jdyg</t>
        </is>
      </c>
      <c r="L276" s="21" t="inlineStr">
        <is>
          <t>GB-TRD-BLU-9ML</t>
        </is>
      </c>
      <c r="M276" s="21" t="inlineStr">
        <is>
          <t>GBTrdpBlue</t>
        </is>
      </c>
      <c r="N276" s="21" t="inlineStr">
        <is>
          <t>GBTrdpBlue</t>
        </is>
      </c>
      <c r="O276" s="22" t="inlineStr">
        <is>
          <t>https://www.bestbottles.com/product/Perfume-small-Bottle-Jar-Teardrop-Blue-glass-stopper</t>
        </is>
      </c>
      <c r="P276" s="23" t="inlineStr">
        <is>
          <t>No</t>
        </is>
      </c>
      <c r="Q276" s="21" t="n"/>
      <c r="R276" s="21" t="n">
        <v>1</v>
      </c>
      <c r="S276" s="21" t="n">
        <v>3.2</v>
      </c>
      <c r="T276" s="21" t="n">
        <v>3.2</v>
      </c>
      <c r="U276" s="21" t="n"/>
      <c r="V276" s="21" t="n"/>
      <c r="W276" s="21" t="n"/>
      <c r="X276" s="21" t="n"/>
    </row>
    <row r="277" ht="15" customHeight="1" s="19">
      <c r="A277" s="24" t="n">
        <v>276</v>
      </c>
      <c r="B277" s="24" t="inlineStr">
        <is>
          <t>Teardrop</t>
        </is>
      </c>
      <c r="C277" s="24" t="n">
        <v>9</v>
      </c>
      <c r="D277" s="24" t="inlineStr">
        <is>
          <t>Green</t>
        </is>
      </c>
      <c r="E277" s="24" t="inlineStr">
        <is>
          <t>Glass Stopper</t>
        </is>
      </c>
      <c r="F277" s="24" t="inlineStr">
        <is>
          <t>Ground</t>
        </is>
      </c>
      <c r="G277" s="24" t="inlineStr">
        <is>
          <t>9 ml Green Teardrop Applicator Bottle</t>
        </is>
      </c>
      <c r="H277" s="24" t="inlineStr">
        <is>
          <t>Glass Bottle</t>
        </is>
      </c>
      <c r="I277" s="24" t="inlineStr">
        <is>
          <t>Teardrop</t>
        </is>
      </c>
      <c r="J277" s="24" t="inlineStr">
        <is>
          <t>teardrop-9ml-green-Ground-glassapplicator</t>
        </is>
      </c>
      <c r="K277" s="24" t="inlineStr">
        <is>
          <t>kh73nwqwt64pa9jerzrm557h8983k3zr</t>
        </is>
      </c>
      <c r="L277" s="24" t="inlineStr">
        <is>
          <t>GB-TRD-GRN-9ML</t>
        </is>
      </c>
      <c r="M277" s="24" t="inlineStr">
        <is>
          <t>GBTRDPGreen</t>
        </is>
      </c>
      <c r="N277" s="24" t="inlineStr">
        <is>
          <t>GBTRDPGreen</t>
        </is>
      </c>
      <c r="O277" s="25" t="inlineStr">
        <is>
          <t>https://www.bestbottles.com/product/Perfume-small-Bottle-Jar-Teardrop-Green-glass-stopper</t>
        </is>
      </c>
      <c r="P277" s="23" t="inlineStr">
        <is>
          <t>No</t>
        </is>
      </c>
      <c r="Q277" s="24" t="n"/>
      <c r="R277" s="24" t="n">
        <v>1</v>
      </c>
      <c r="S277" s="24" t="n">
        <v>3.2</v>
      </c>
      <c r="T277" s="24" t="n">
        <v>3.2</v>
      </c>
      <c r="U277" s="24" t="n"/>
      <c r="V277" s="24" t="n"/>
      <c r="W277" s="24" t="n"/>
      <c r="X277" s="24" t="n"/>
    </row>
    <row r="278" ht="15" customHeight="1" s="19">
      <c r="A278" s="21" t="n">
        <v>277</v>
      </c>
      <c r="B278" s="21" t="inlineStr">
        <is>
          <t>Tulip</t>
        </is>
      </c>
      <c r="C278" s="21" t="n">
        <v>5</v>
      </c>
      <c r="D278" s="21" t="inlineStr">
        <is>
          <t>Amber</t>
        </is>
      </c>
      <c r="E278" s="21" t="inlineStr">
        <is>
          <t>Cap/Closure</t>
        </is>
      </c>
      <c r="F278" s="21" t="inlineStr">
        <is>
          <t>13-415</t>
        </is>
      </c>
      <c r="G278" s="21" t="inlineStr">
        <is>
          <t>5 ml Amber Tulip Bottle with Cap</t>
        </is>
      </c>
      <c r="H278" s="21" t="inlineStr">
        <is>
          <t>Glass Bottle</t>
        </is>
      </c>
      <c r="I278" s="21" t="inlineStr">
        <is>
          <t>Tulip</t>
        </is>
      </c>
      <c r="J278" s="21" t="inlineStr">
        <is>
          <t>tulip-5ml-amber-13-415</t>
        </is>
      </c>
      <c r="K278" s="21" t="inlineStr">
        <is>
          <t>kh7bjd5gtfja1n435ykemqrhe583jqjn</t>
        </is>
      </c>
      <c r="L278" s="21" t="inlineStr">
        <is>
          <t>GB-CYL-AMB-5ML-GLD-T</t>
        </is>
      </c>
      <c r="M278" s="21" t="inlineStr">
        <is>
          <t>GBTulipAmb5Gl</t>
        </is>
      </c>
      <c r="N278" s="21" t="inlineStr">
        <is>
          <t>GBTulipAmb5Gl, GBTulipAmb5Sl, GBTulipAmb5WhtSht, GBTulipAmb5BlkSht</t>
        </is>
      </c>
      <c r="O278" s="22" t="inlineStr">
        <is>
          <t>https://www.bestbottles.com/product/tulip-design-5-ml-amber-glass-bottle-shiny-gold-cap</t>
        </is>
      </c>
      <c r="P278" s="23" t="inlineStr">
        <is>
          <t>No</t>
        </is>
      </c>
      <c r="Q278" s="21" t="n"/>
      <c r="R278" s="21" t="n">
        <v>4</v>
      </c>
      <c r="S278" s="21" t="n">
        <v>0.44</v>
      </c>
      <c r="T278" s="21" t="n">
        <v>0.62</v>
      </c>
      <c r="U278" s="21" t="n"/>
      <c r="V278" s="21" t="n"/>
      <c r="W278" s="21" t="n"/>
      <c r="X278" s="21" t="n"/>
    </row>
    <row r="279" ht="15" customHeight="1" s="19">
      <c r="A279" s="24" t="n">
        <v>278</v>
      </c>
      <c r="B279" s="24" t="inlineStr">
        <is>
          <t>Tulip</t>
        </is>
      </c>
      <c r="C279" s="24" t="n">
        <v>5</v>
      </c>
      <c r="D279" s="24" t="inlineStr">
        <is>
          <t>Amber</t>
        </is>
      </c>
      <c r="E279" s="24" t="inlineStr">
        <is>
          <t>Fine Mist Sprayer</t>
        </is>
      </c>
      <c r="F279" s="24" t="inlineStr">
        <is>
          <t>13-415</t>
        </is>
      </c>
      <c r="G279" s="24" t="inlineStr">
        <is>
          <t>5 ml Amber Tulip Fine Mist Spray Bottle</t>
        </is>
      </c>
      <c r="H279" s="24" t="inlineStr">
        <is>
          <t>Glass Bottle</t>
        </is>
      </c>
      <c r="I279" s="24" t="inlineStr">
        <is>
          <t>Tulip</t>
        </is>
      </c>
      <c r="J279" s="24" t="inlineStr">
        <is>
          <t>tulip-5ml-amber-13-415-finemist</t>
        </is>
      </c>
      <c r="K279" s="24" t="inlineStr">
        <is>
          <t>kh71f4t8sy9930z2mqd592sbcd83ka24</t>
        </is>
      </c>
      <c r="L279" s="24" t="inlineStr">
        <is>
          <t>GB-CYL-AMB-5ML-SPR-MBLK</t>
        </is>
      </c>
      <c r="M279" s="24" t="inlineStr">
        <is>
          <t>GBTulipAmb5SpryBlkMatt</t>
        </is>
      </c>
      <c r="N279" s="24" t="inlineStr">
        <is>
          <t>GBTulipAmb5SpryBlkMatt, GBTulipAmb5SpryBlkSh, GBTulipAmb5SpryBluMatt, GBTulipAmb5SpryCuMatt, GBTulipAmb5SpryGlMatt, GBTulipAmb5SpryGlSh, GBTulipAmb5SprySlMatt, GBTulipAmb5SprySlSh</t>
        </is>
      </c>
      <c r="O279" s="25" t="inlineStr">
        <is>
          <t>https://www.bestbottles.com/product/tulip-design-5-ml-amber-glass-bottle-matte-black-spray</t>
        </is>
      </c>
      <c r="P279" s="23" t="inlineStr">
        <is>
          <t>No</t>
        </is>
      </c>
      <c r="Q279" s="24" t="n"/>
      <c r="R279" s="24" t="n">
        <v>8</v>
      </c>
      <c r="S279" s="24" t="n">
        <v>0.97</v>
      </c>
      <c r="T279" s="24" t="n">
        <v>0.97</v>
      </c>
      <c r="U279" s="24" t="n"/>
      <c r="V279" s="24" t="n"/>
      <c r="W279" s="24" t="n"/>
      <c r="X279" s="24" t="n"/>
    </row>
    <row r="280" ht="15" customHeight="1" s="19">
      <c r="A280" s="21" t="n">
        <v>279</v>
      </c>
      <c r="B280" s="21" t="inlineStr">
        <is>
          <t>Tulip</t>
        </is>
      </c>
      <c r="C280" s="21" t="n">
        <v>5</v>
      </c>
      <c r="D280" s="21" t="inlineStr">
        <is>
          <t>Amber</t>
        </is>
      </c>
      <c r="E280" s="21" t="inlineStr">
        <is>
          <t>Metal Roller Ball, Plastic Roller Ball</t>
        </is>
      </c>
      <c r="F280" s="21" t="inlineStr">
        <is>
          <t>13-415</t>
        </is>
      </c>
      <c r="G280" s="21" t="inlineStr">
        <is>
          <t>5 ml Amber Tulip Roll-On Bottle</t>
        </is>
      </c>
      <c r="H280" s="21" t="inlineStr">
        <is>
          <t>Glass Bottle</t>
        </is>
      </c>
      <c r="I280" s="21" t="inlineStr">
        <is>
          <t>Tulip</t>
        </is>
      </c>
      <c r="J280" s="21" t="inlineStr">
        <is>
          <t>tulip-5ml-amber-13-415-rollon</t>
        </is>
      </c>
      <c r="K280" s="21" t="inlineStr">
        <is>
          <t>kh79f6v65kzvzzs5drkhk9pvps83kzn3</t>
        </is>
      </c>
      <c r="L280" s="21" t="inlineStr">
        <is>
          <t>GB-CYL-AMB-5ML-MRL-MCPR</t>
        </is>
      </c>
      <c r="M280" s="21" t="inlineStr">
        <is>
          <t>GBTulipAmb5MtlRollCuMatt</t>
        </is>
      </c>
      <c r="N280" s="21" t="inlineStr">
        <is>
          <t>GBTulipAmb5MtlRollCuMatt, GBTulipAmb5MtlRollGlMatt, GBTulipAmb5MtlRollGlSh, GBTulipAmb5MtlRollPinkDot, GBTulipAmb5MtlRollSlDot, GBTulipAmb5MtlRollSlMatt, GBTulipAmb5MtlRollSlSh, GBTulipAmb5MtlRollBlkSh, GBTulipAmb5RollBlkDot, GBTulipAmb5RollBlkSh, GBTulipAmb5RollCuMatt, GBTulipAmb5RollGlMatt, GBTulipAmb5RollPinkDot, GBTulipAmb5RollSlDot, GBTulipAmb5RollSlMatt, GBTulipAmb5RollSlSh, GBTulipAmb5MtlRollBlkDot, GBTulipAmb5RollGlSh</t>
        </is>
      </c>
      <c r="O280" s="22" t="inlineStr">
        <is>
          <t>https://www.bestbottles.com/product/tulip-design-5-ml-amber-glass-bottle-metal-roller-ball-plug-matte-copper-cap</t>
        </is>
      </c>
      <c r="P280" s="23" t="inlineStr">
        <is>
          <t>No</t>
        </is>
      </c>
      <c r="Q280" s="21" t="n"/>
      <c r="R280" s="21" t="n">
        <v>18</v>
      </c>
      <c r="S280" s="21" t="n">
        <v>0.74</v>
      </c>
      <c r="T280" s="21" t="n">
        <v>0.89</v>
      </c>
      <c r="U280" s="21" t="n"/>
      <c r="V280" s="21" t="n"/>
      <c r="W280" s="21" t="n"/>
      <c r="X280" s="21" t="n"/>
    </row>
    <row r="281" ht="15" customHeight="1" s="19">
      <c r="A281" s="24" t="n">
        <v>280</v>
      </c>
      <c r="B281" s="24" t="inlineStr">
        <is>
          <t>Tulip</t>
        </is>
      </c>
      <c r="C281" s="24" t="n">
        <v>6</v>
      </c>
      <c r="D281" s="24" t="inlineStr">
        <is>
          <t>Clear</t>
        </is>
      </c>
      <c r="E281" s="24" t="inlineStr">
        <is>
          <t>Cap/Closure</t>
        </is>
      </c>
      <c r="F281" s="24" t="inlineStr">
        <is>
          <t>13-415</t>
        </is>
      </c>
      <c r="G281" s="24" t="inlineStr">
        <is>
          <t>6 ml Clear Tulip Bottle with Cap</t>
        </is>
      </c>
      <c r="H281" s="24" t="inlineStr">
        <is>
          <t>Glass Bottle</t>
        </is>
      </c>
      <c r="I281" s="24" t="inlineStr">
        <is>
          <t>Tulip</t>
        </is>
      </c>
      <c r="J281" s="24" t="inlineStr">
        <is>
          <t>tulip-6ml-clear-13-415</t>
        </is>
      </c>
      <c r="K281" s="24" t="inlineStr">
        <is>
          <t>kh761pcyg65shc49e5p56zf6dd83j9aw</t>
        </is>
      </c>
      <c r="L281" s="24" t="inlineStr">
        <is>
          <t>GB-CYL-CLR-6ML-GLD-T</t>
        </is>
      </c>
      <c r="M281" s="24" t="inlineStr">
        <is>
          <t>GBTulip6Gl</t>
        </is>
      </c>
      <c r="N281" s="24" t="inlineStr">
        <is>
          <t>GBTulip6Gl, GBTulip6Sl, GBTulip6WhtSht, GBTulip6BlkSht, GBTulip6BlkShSht</t>
        </is>
      </c>
      <c r="O281" s="25" t="inlineStr">
        <is>
          <t>https://www.bestbottles.com/product/tulip-design-6ml-bottle-shiny-gold-cap</t>
        </is>
      </c>
      <c r="P281" s="23" t="inlineStr">
        <is>
          <t>No</t>
        </is>
      </c>
      <c r="Q281" s="24" t="n"/>
      <c r="R281" s="24" t="n">
        <v>5</v>
      </c>
      <c r="S281" s="24" t="n">
        <v>0.59</v>
      </c>
      <c r="T281" s="24" t="n">
        <v>0.59</v>
      </c>
      <c r="U281" s="24" t="n"/>
      <c r="V281" s="24" t="n"/>
      <c r="W281" s="24" t="n"/>
      <c r="X281" s="24" t="n"/>
    </row>
    <row r="282" ht="15" customHeight="1" s="19">
      <c r="A282" s="21" t="n">
        <v>281</v>
      </c>
      <c r="B282" s="21" t="inlineStr">
        <is>
          <t>Tulip</t>
        </is>
      </c>
      <c r="C282" s="21" t="n">
        <v>6</v>
      </c>
      <c r="D282" s="21" t="inlineStr">
        <is>
          <t>Clear</t>
        </is>
      </c>
      <c r="E282" s="21" t="inlineStr">
        <is>
          <t>Fine Mist Sprayer</t>
        </is>
      </c>
      <c r="F282" s="21" t="inlineStr">
        <is>
          <t>13-415</t>
        </is>
      </c>
      <c r="G282" s="21" t="inlineStr">
        <is>
          <t>6 ml Clear Tulip Fine Mist Spray Bottle</t>
        </is>
      </c>
      <c r="H282" s="21" t="inlineStr">
        <is>
          <t>Glass Bottle</t>
        </is>
      </c>
      <c r="I282" s="21" t="inlineStr">
        <is>
          <t>Tulip</t>
        </is>
      </c>
      <c r="J282" s="21" t="inlineStr">
        <is>
          <t>tulip-6ml-clear-13-415-finemist</t>
        </is>
      </c>
      <c r="K282" s="21" t="inlineStr">
        <is>
          <t>kh7dacjk928xnn8gajfqphqm0n83j4mk</t>
        </is>
      </c>
      <c r="L282" s="21" t="inlineStr">
        <is>
          <t>GB-CYL-CLR-6ML-SPR-SBLK</t>
        </is>
      </c>
      <c r="M282" s="21" t="inlineStr">
        <is>
          <t>GBTulip6SpryBlkSh</t>
        </is>
      </c>
      <c r="N282" s="21" t="inlineStr">
        <is>
          <t>GBTulip6SpryBlkSh, GBTulip6SpryBluMatt, GBTulip6SpryCuMatt, GBTulip6SpryGlMatt, GBTulip6SpryGlSh, GBTulip6SprySlMatt, GBTulip6SprySlSh</t>
        </is>
      </c>
      <c r="O282" s="22" t="inlineStr">
        <is>
          <t>https://www.bestbottles.com/product/tulip-design-6ml-bottle-shiny-black-spray</t>
        </is>
      </c>
      <c r="P282" s="23" t="inlineStr">
        <is>
          <t>No</t>
        </is>
      </c>
      <c r="Q282" s="21" t="n"/>
      <c r="R282" s="21" t="n">
        <v>7</v>
      </c>
      <c r="S282" s="21" t="n">
        <v>0.9</v>
      </c>
      <c r="T282" s="21" t="n">
        <v>0.9</v>
      </c>
      <c r="U282" s="21" t="n"/>
      <c r="V282" s="21" t="n"/>
      <c r="W282" s="21" t="n"/>
      <c r="X282" s="21" t="n"/>
    </row>
    <row r="283" ht="15" customHeight="1" s="19">
      <c r="A283" s="24" t="n">
        <v>282</v>
      </c>
      <c r="B283" s="24" t="inlineStr">
        <is>
          <t>Tulip</t>
        </is>
      </c>
      <c r="C283" s="24" t="n">
        <v>6</v>
      </c>
      <c r="D283" s="24" t="inlineStr">
        <is>
          <t>Clear</t>
        </is>
      </c>
      <c r="E283" s="24" t="inlineStr">
        <is>
          <t>Metal Roller Ball, Plastic Roller Ball</t>
        </is>
      </c>
      <c r="F283" s="24" t="inlineStr">
        <is>
          <t>13-415</t>
        </is>
      </c>
      <c r="G283" s="24" t="inlineStr">
        <is>
          <t>6 ml Clear Tulip Roll-On Bottle</t>
        </is>
      </c>
      <c r="H283" s="24" t="inlineStr">
        <is>
          <t>Glass Bottle</t>
        </is>
      </c>
      <c r="I283" s="24" t="inlineStr">
        <is>
          <t>Tulip</t>
        </is>
      </c>
      <c r="J283" s="24" t="inlineStr">
        <is>
          <t>tulip-6ml-clear-13-415-rollon</t>
        </is>
      </c>
      <c r="K283" s="24" t="inlineStr">
        <is>
          <t>kh7306wh96tk62qa97xrzd983583jfbn</t>
        </is>
      </c>
      <c r="L283" s="24" t="inlineStr">
        <is>
          <t>GB-CYL-CLR-6ML-MRL-SBLK</t>
        </is>
      </c>
      <c r="M283" s="24" t="inlineStr">
        <is>
          <t>GBTulip6MtlRollBlkSh</t>
        </is>
      </c>
      <c r="N283" s="24" t="inlineStr">
        <is>
          <t>GBTulip6MtlRollBlkSh, GBTulip6MtlRollCuMatt, GBTulip6MtlRollGlMatt, GBTulip6MtlRollGlSh, GBTulip6MtlRollPinkDot, GBTulip6MtlRollSlDot, GBTulip6MtlRollSlMatt, GBTulip6RollBlkDot, GBTulip6MtlRollSlSh, GBTulip6MtlRollBlkDot, GBTulip6RollBlkSh, GBTulip6RollCuMatt, GBTulip6RollGlMatt, GBTulip6RollGlSh, GBTulip6RollPinkDot, GBTulip6RollSlDot, GBTulip6RollSlMatt, GBTulip6RollSlSh</t>
        </is>
      </c>
      <c r="O283" s="25" t="inlineStr">
        <is>
          <t>https://www.bestbottles.com/product/tulip-design-6ml-bottle-metal-roller-ball-plug-black-shiny-cap</t>
        </is>
      </c>
      <c r="P283" s="23" t="inlineStr">
        <is>
          <t>No</t>
        </is>
      </c>
      <c r="Q283" s="24" t="n"/>
      <c r="R283" s="24" t="n">
        <v>18</v>
      </c>
      <c r="S283" s="24" t="n">
        <v>0.72</v>
      </c>
      <c r="T283" s="24" t="n">
        <v>0.82</v>
      </c>
      <c r="U283" s="24" t="n"/>
      <c r="V283" s="24" t="n"/>
      <c r="W283" s="24" t="n"/>
      <c r="X283" s="24" t="n"/>
    </row>
    <row r="284" ht="15" customHeight="1" s="19">
      <c r="A284" s="21" t="n">
        <v>283</v>
      </c>
      <c r="B284" s="21" t="inlineStr">
        <is>
          <t>Vial</t>
        </is>
      </c>
      <c r="C284" s="21" t="n">
        <v>1</v>
      </c>
      <c r="D284" s="21" t="inlineStr">
        <is>
          <t>Amber</t>
        </is>
      </c>
      <c r="E284" s="21" t="inlineStr">
        <is>
          <t>Cap/Closure</t>
        </is>
      </c>
      <c r="F284" s="21" t="inlineStr">
        <is>
          <t>Plug</t>
        </is>
      </c>
      <c r="G284" s="21" t="inlineStr">
        <is>
          <t>1 ml Amber Vial Bottle with Cap</t>
        </is>
      </c>
      <c r="H284" s="21" t="inlineStr">
        <is>
          <t>Glass Bottle</t>
        </is>
      </c>
      <c r="I284" s="21" t="inlineStr">
        <is>
          <t>Vial</t>
        </is>
      </c>
      <c r="J284" s="21" t="inlineStr">
        <is>
          <t>vial-1ml-amber-Plug</t>
        </is>
      </c>
      <c r="K284" s="21" t="inlineStr">
        <is>
          <t>kh7byc744mr9nb9f1px4jpw2mn83k8th</t>
        </is>
      </c>
      <c r="L284" s="21" t="inlineStr">
        <is>
          <t>GB-VIA-AMB-1ML-WHT-T</t>
        </is>
      </c>
      <c r="M284" s="21" t="inlineStr">
        <is>
          <t>GB1mlAmbVialWht</t>
        </is>
      </c>
      <c r="N284" s="21" t="inlineStr">
        <is>
          <t>GB1mlAmbVialWht</t>
        </is>
      </c>
      <c r="O284" s="22" t="inlineStr">
        <is>
          <t>https://www.bestbottles.com/product/Vial-style-1-ml-amber-glass-bottle-white-applicator</t>
        </is>
      </c>
      <c r="P284" s="23" t="inlineStr">
        <is>
          <t>No</t>
        </is>
      </c>
      <c r="Q284" s="21" t="n"/>
      <c r="R284" s="21" t="n">
        <v>1</v>
      </c>
      <c r="S284" s="21" t="n">
        <v>0.15</v>
      </c>
      <c r="T284" s="21" t="n">
        <v>0.15</v>
      </c>
      <c r="U284" s="21" t="n"/>
      <c r="V284" s="21" t="n"/>
      <c r="W284" s="21" t="n"/>
      <c r="X284" s="21" t="n"/>
    </row>
    <row r="285" ht="15" customHeight="1" s="19">
      <c r="A285" s="24" t="n">
        <v>284</v>
      </c>
      <c r="B285" s="24" t="inlineStr">
        <is>
          <t>Vial</t>
        </is>
      </c>
      <c r="C285" s="24" t="n">
        <v>1</v>
      </c>
      <c r="D285" s="24" t="inlineStr">
        <is>
          <t>Clear</t>
        </is>
      </c>
      <c r="E285" s="24" t="inlineStr">
        <is>
          <t>Cap/Closure</t>
        </is>
      </c>
      <c r="F285" s="24" t="inlineStr">
        <is>
          <t>Plug</t>
        </is>
      </c>
      <c r="G285" s="24" t="inlineStr">
        <is>
          <t>1 ml Clear Vial Bottle with Cap</t>
        </is>
      </c>
      <c r="H285" s="24" t="inlineStr">
        <is>
          <t>Glass Bottle</t>
        </is>
      </c>
      <c r="I285" s="24" t="inlineStr">
        <is>
          <t>Vial</t>
        </is>
      </c>
      <c r="J285" s="24" t="inlineStr">
        <is>
          <t>vial-1ml-clear-Plug</t>
        </is>
      </c>
      <c r="K285" s="24" t="inlineStr">
        <is>
          <t>kh73n1afmj4cmf2pp83fght7an83k744</t>
        </is>
      </c>
      <c r="L285" s="24" t="inlineStr">
        <is>
          <t>GB-VIA-CLR-1ML-BLK-T</t>
        </is>
      </c>
      <c r="M285" s="24" t="inlineStr">
        <is>
          <t>GB1mlVBlk</t>
        </is>
      </c>
      <c r="N285" s="24" t="inlineStr">
        <is>
          <t>GB1mlVBlk, GB1mlAmbVBlk, GB1mlVWht</t>
        </is>
      </c>
      <c r="O285" s="25" t="inlineStr">
        <is>
          <t>https://www.bestbottles.com/product/Vial-style-1-ml-glass-bottle-black-applicator</t>
        </is>
      </c>
      <c r="P285" s="23" t="inlineStr">
        <is>
          <t>No</t>
        </is>
      </c>
      <c r="Q285" s="24" t="n"/>
      <c r="R285" s="24" t="n">
        <v>3</v>
      </c>
      <c r="S285" s="24" t="n">
        <v>0.13</v>
      </c>
      <c r="T285" s="24" t="n">
        <v>0.15</v>
      </c>
      <c r="U285" s="24" t="n"/>
      <c r="V285" s="24" t="n"/>
      <c r="W285" s="24" t="n"/>
      <c r="X285" s="24" t="n"/>
    </row>
    <row r="286" ht="15" customHeight="1" s="19">
      <c r="A286" s="21" t="n">
        <v>285</v>
      </c>
      <c r="B286" s="21" t="inlineStr">
        <is>
          <t>Vial</t>
        </is>
      </c>
      <c r="C286" s="21" t="n">
        <v>2</v>
      </c>
      <c r="D286" s="21" t="inlineStr">
        <is>
          <t>Amber</t>
        </is>
      </c>
      <c r="E286" s="21" t="inlineStr">
        <is>
          <t>Cap/Closure</t>
        </is>
      </c>
      <c r="F286" s="21" t="inlineStr">
        <is>
          <t>13-425</t>
        </is>
      </c>
      <c r="G286" s="21" t="inlineStr">
        <is>
          <t>2 ml Amber Vial Bottle with Cap</t>
        </is>
      </c>
      <c r="H286" s="21" t="inlineStr">
        <is>
          <t>Glass Bottle</t>
        </is>
      </c>
      <c r="I286" s="21" t="inlineStr">
        <is>
          <t>Vial</t>
        </is>
      </c>
      <c r="J286" s="21" t="inlineStr">
        <is>
          <t>vial-2ml-amber-13-425</t>
        </is>
      </c>
      <c r="K286" s="21" t="inlineStr">
        <is>
          <t>kh7af100pd542g9gfsbwzyqfc983jf5e</t>
        </is>
      </c>
      <c r="L286" s="21" t="inlineStr">
        <is>
          <t>GB-VIA-AMB-1.5ML-WHT-S</t>
        </is>
      </c>
      <c r="M286" s="21" t="inlineStr">
        <is>
          <t>GBVialAmb1o5WhtCapSht</t>
        </is>
      </c>
      <c r="N286" s="21" t="inlineStr">
        <is>
          <t>GBVialAmb1o5WhtCapSht</t>
        </is>
      </c>
      <c r="O286" s="22" t="inlineStr">
        <is>
          <t>https://www.bestbottles.com/product/Vial-design-1-o-5-ml-amber-glass-white-short-cap</t>
        </is>
      </c>
      <c r="P286" s="23" t="inlineStr">
        <is>
          <t>No</t>
        </is>
      </c>
      <c r="Q286" s="21" t="n"/>
      <c r="R286" s="21" t="n">
        <v>1</v>
      </c>
      <c r="S286" s="21" t="n">
        <v>0.38</v>
      </c>
      <c r="T286" s="21" t="n">
        <v>0.38</v>
      </c>
      <c r="U286" s="21" t="n"/>
      <c r="V286" s="21" t="n"/>
      <c r="W286" s="21" t="n"/>
      <c r="X286" s="21" t="n"/>
    </row>
    <row r="287" ht="15" customHeight="1" s="19">
      <c r="A287" s="24" t="n">
        <v>286</v>
      </c>
      <c r="B287" s="24" t="inlineStr">
        <is>
          <t>Vial</t>
        </is>
      </c>
      <c r="C287" s="24" t="n">
        <v>2</v>
      </c>
      <c r="D287" s="24" t="inlineStr">
        <is>
          <t>Clear</t>
        </is>
      </c>
      <c r="E287" s="24" t="inlineStr">
        <is>
          <t>Cap/Closure</t>
        </is>
      </c>
      <c r="F287" s="24" t="inlineStr">
        <is>
          <t>8-425</t>
        </is>
      </c>
      <c r="G287" s="24" t="inlineStr">
        <is>
          <t>2 ml Clear Vial Bottle with Cap</t>
        </is>
      </c>
      <c r="H287" s="24" t="inlineStr">
        <is>
          <t>Glass Bottle</t>
        </is>
      </c>
      <c r="I287" s="24" t="inlineStr">
        <is>
          <t>Vial</t>
        </is>
      </c>
      <c r="J287" s="24" t="inlineStr">
        <is>
          <t>vial-2ml-clear-8-425</t>
        </is>
      </c>
      <c r="K287" s="24" t="inlineStr">
        <is>
          <t>kh7e05r1v23jregepqr6xw0aed83kfjn</t>
        </is>
      </c>
      <c r="L287" s="24" t="inlineStr">
        <is>
          <t>GB-VIA-CLR-2ML-S-02</t>
        </is>
      </c>
      <c r="M287" s="24" t="inlineStr">
        <is>
          <t>GBVAmb2WhtCap</t>
        </is>
      </c>
      <c r="N287" s="24" t="inlineStr">
        <is>
          <t>GBVAmb2WhtCap, GBVialClr2mlWhtCap, GBVAmb2BlackCap, GBVialClr2mlBlackCap</t>
        </is>
      </c>
      <c r="O287" s="25" t="inlineStr">
        <is>
          <t>https://www.bestbottles.com/product/Vial-design-2-ml-amber-glass-short-white-cap</t>
        </is>
      </c>
      <c r="P287" s="23" t="inlineStr">
        <is>
          <t>No</t>
        </is>
      </c>
      <c r="Q287" s="24" t="n"/>
      <c r="R287" s="24" t="n">
        <v>4</v>
      </c>
      <c r="S287" s="24" t="n">
        <v>0.38</v>
      </c>
      <c r="T287" s="24" t="n">
        <v>0.38</v>
      </c>
      <c r="U287" s="24" t="n"/>
      <c r="V287" s="24" t="n"/>
      <c r="W287" s="24" t="n"/>
      <c r="X287" s="24" t="n"/>
    </row>
    <row r="288" ht="15" customHeight="1" s="19">
      <c r="A288" s="21" t="n">
        <v>287</v>
      </c>
      <c r="B288" s="21" t="inlineStr">
        <is>
          <t>Vial</t>
        </is>
      </c>
      <c r="C288" s="21" t="n">
        <v>3</v>
      </c>
      <c r="D288" s="21" t="inlineStr">
        <is>
          <t>Clear</t>
        </is>
      </c>
      <c r="E288" s="21" t="inlineStr">
        <is>
          <t>Cap/Closure</t>
        </is>
      </c>
      <c r="F288" s="21" t="inlineStr">
        <is>
          <t>13-425</t>
        </is>
      </c>
      <c r="G288" s="21" t="inlineStr">
        <is>
          <t>3 ml Clear Vial Bottle with Cap</t>
        </is>
      </c>
      <c r="H288" s="21" t="inlineStr">
        <is>
          <t>Glass Bottle</t>
        </is>
      </c>
      <c r="I288" s="21" t="inlineStr">
        <is>
          <t>Vial</t>
        </is>
      </c>
      <c r="J288" s="21" t="inlineStr">
        <is>
          <t>vial-3ml-clear-13-425</t>
        </is>
      </c>
      <c r="K288" s="21" t="inlineStr">
        <is>
          <t>kh7dpdbvqrtrf28nd0h2j19gwd83kr9g</t>
        </is>
      </c>
      <c r="L288" s="21" t="inlineStr">
        <is>
          <t>GB-VIA-CLR-3ML-GRN-S</t>
        </is>
      </c>
      <c r="M288" s="21" t="inlineStr">
        <is>
          <t>GBVGreen2o4BlackCapSht</t>
        </is>
      </c>
      <c r="N288" s="21" t="inlineStr">
        <is>
          <t>GBVGreen2o4BlackCapSht</t>
        </is>
      </c>
      <c r="O288" s="22" t="inlineStr">
        <is>
          <t>https://www.bestbottles.com/product/Vial-design-5-8-dram-green-glass-black-short-cap</t>
        </is>
      </c>
      <c r="P288" s="23" t="inlineStr">
        <is>
          <t>No</t>
        </is>
      </c>
      <c r="Q288" s="21" t="n"/>
      <c r="R288" s="21" t="n">
        <v>1</v>
      </c>
      <c r="S288" s="21" t="n">
        <v>1.08</v>
      </c>
      <c r="T288" s="21" t="n">
        <v>1.08</v>
      </c>
      <c r="U288" s="21" t="n"/>
      <c r="V288" s="21" t="n"/>
      <c r="W288" s="21" t="n"/>
      <c r="X288" s="21" t="n"/>
    </row>
    <row r="289" ht="15" customHeight="1" s="19">
      <c r="A289" s="24" t="n">
        <v>288</v>
      </c>
      <c r="B289" s="24" t="inlineStr">
        <is>
          <t>Vial</t>
        </is>
      </c>
      <c r="C289" s="24" t="n">
        <v>3</v>
      </c>
      <c r="D289" s="24" t="inlineStr">
        <is>
          <t>Cobalt Blue</t>
        </is>
      </c>
      <c r="E289" s="24" t="inlineStr">
        <is>
          <t>Cap/Closure</t>
        </is>
      </c>
      <c r="F289" s="24" t="inlineStr">
        <is>
          <t>13-425</t>
        </is>
      </c>
      <c r="G289" s="24" t="inlineStr">
        <is>
          <t>3 ml Cobalt Blue Vial Bottle with Cap</t>
        </is>
      </c>
      <c r="H289" s="24" t="inlineStr">
        <is>
          <t>Glass Bottle</t>
        </is>
      </c>
      <c r="I289" s="24" t="inlineStr">
        <is>
          <t>Vial</t>
        </is>
      </c>
      <c r="J289" s="24" t="inlineStr">
        <is>
          <t>vial-3ml-cobalt-blue-13-425</t>
        </is>
      </c>
      <c r="K289" s="24" t="inlineStr">
        <is>
          <t>kh70xb8ym7fkbs0hja83xhw71n83kc99</t>
        </is>
      </c>
      <c r="L289" s="24" t="inlineStr">
        <is>
          <t>GB-VIA-BLU-3ML-BLK-S</t>
        </is>
      </c>
      <c r="M289" s="24" t="inlineStr">
        <is>
          <t>GBVBlu1o9BlackCapSht</t>
        </is>
      </c>
      <c r="N289" s="24" t="inlineStr">
        <is>
          <t>GBVBlu1o9BlackCapSht</t>
        </is>
      </c>
      <c r="O289" s="25" t="inlineStr">
        <is>
          <t>https://www.bestbottles.com/product/Vial-design-5-8-dram-blue-glass-black-short-cap</t>
        </is>
      </c>
      <c r="P289" s="23" t="inlineStr">
        <is>
          <t>No</t>
        </is>
      </c>
      <c r="Q289" s="24" t="n"/>
      <c r="R289" s="24" t="n">
        <v>1</v>
      </c>
      <c r="S289" s="24" t="n">
        <v>1.08</v>
      </c>
      <c r="T289" s="24" t="n">
        <v>1.08</v>
      </c>
      <c r="U289" s="24" t="n"/>
      <c r="V289" s="24" t="n"/>
      <c r="W289" s="24" t="n"/>
      <c r="X289" s="24" t="n"/>
    </row>
    <row r="290" ht="15" customHeight="1" s="19">
      <c r="A290" s="21" t="n">
        <v>289</v>
      </c>
      <c r="B290" s="21" t="inlineStr">
        <is>
          <t>Vial</t>
        </is>
      </c>
      <c r="C290" s="21" t="n">
        <v>3</v>
      </c>
      <c r="D290" s="21" t="inlineStr">
        <is>
          <t>Green</t>
        </is>
      </c>
      <c r="E290" s="21" t="inlineStr">
        <is>
          <t>Cap/Closure</t>
        </is>
      </c>
      <c r="F290" s="21" t="inlineStr">
        <is>
          <t>13-425</t>
        </is>
      </c>
      <c r="G290" s="21" t="inlineStr">
        <is>
          <t>3 ml Green Vial Bottle with Cap</t>
        </is>
      </c>
      <c r="H290" s="21" t="inlineStr">
        <is>
          <t>Glass Bottle</t>
        </is>
      </c>
      <c r="I290" s="21" t="inlineStr">
        <is>
          <t>Green Glass</t>
        </is>
      </c>
      <c r="J290" s="21" t="inlineStr">
        <is>
          <t>vial-3ml-green-13-425</t>
        </is>
      </c>
      <c r="K290" s="21" t="inlineStr">
        <is>
          <t>kh757fqb8448a1ed2w2ewgqa4583jsdk</t>
        </is>
      </c>
      <c r="L290" s="21" t="inlineStr">
        <is>
          <t>GB-GRN-GRN-20ML</t>
        </is>
      </c>
      <c r="M290" s="21" t="inlineStr">
        <is>
          <t>GBVGreen2o4WhtCapSht</t>
        </is>
      </c>
      <c r="N290" s="21" t="inlineStr">
        <is>
          <t>GBVGreen2o4WhtCapSht</t>
        </is>
      </c>
      <c r="O290" s="22" t="inlineStr">
        <is>
          <t>https://www.bestbottles.com/product/Vial-design-5-8-dram-green-glass-white-short-cap</t>
        </is>
      </c>
      <c r="P290" s="23" t="inlineStr">
        <is>
          <t>No</t>
        </is>
      </c>
      <c r="Q290" s="21" t="n"/>
      <c r="R290" s="21" t="n">
        <v>1</v>
      </c>
      <c r="S290" s="21" t="n">
        <v>0.8100000000000001</v>
      </c>
      <c r="T290" s="21" t="n">
        <v>0.8100000000000001</v>
      </c>
      <c r="U290" s="21" t="n"/>
      <c r="V290" s="21" t="n"/>
      <c r="W290" s="21" t="n"/>
      <c r="X290" s="21" t="n"/>
    </row>
    <row r="291" ht="15" customHeight="1" s="19">
      <c r="A291" s="24" t="n">
        <v>290</v>
      </c>
      <c r="B291" s="24" t="inlineStr">
        <is>
          <t>Vial</t>
        </is>
      </c>
      <c r="C291" s="24" t="n">
        <v>4</v>
      </c>
      <c r="D291" s="24" t="inlineStr">
        <is>
          <t>Clear</t>
        </is>
      </c>
      <c r="E291" s="24" t="inlineStr">
        <is>
          <t>Cap/Closure</t>
        </is>
      </c>
      <c r="F291" s="24" t="inlineStr">
        <is>
          <t>13-425</t>
        </is>
      </c>
      <c r="G291" s="24" t="inlineStr">
        <is>
          <t>4 ml Clear Vial Bottle with Cap</t>
        </is>
      </c>
      <c r="H291" s="24" t="inlineStr">
        <is>
          <t>Glass Bottle</t>
        </is>
      </c>
      <c r="I291" s="24" t="inlineStr">
        <is>
          <t>Vial</t>
        </is>
      </c>
      <c r="J291" s="24" t="inlineStr">
        <is>
          <t>vial-4ml-clear-13-425</t>
        </is>
      </c>
      <c r="K291" s="24" t="inlineStr">
        <is>
          <t>kh7dzzvp0tawdnj8msxbxz3gcs83kxpw</t>
        </is>
      </c>
      <c r="L291" s="24" t="inlineStr">
        <is>
          <t>GB-VIA-CLR-3ML-S-04</t>
        </is>
      </c>
      <c r="M291" s="24" t="inlineStr">
        <is>
          <t>GBVAmb1DrmWhtCapSht</t>
        </is>
      </c>
      <c r="N291" s="24" t="inlineStr">
        <is>
          <t>GBVAmb1DrmWhtCapSht, GBV1DrmWhtCapSht, GBVBlu1DrmWhtCapSht, GBVGr1DrmWhtCapSht, GBVAmb1DrmBlackCapSht, GBV1DrmBlackCapSht, GBVBlu1DrmBlackCapSht, GBVGr1DrmBlackCapSht</t>
        </is>
      </c>
      <c r="O291" s="25" t="inlineStr">
        <is>
          <t>https://www.bestbottles.com/product/Vial-design-1-dram-amber-glass-white-short-cap</t>
        </is>
      </c>
      <c r="P291" s="23" t="inlineStr">
        <is>
          <t>No</t>
        </is>
      </c>
      <c r="Q291" s="24" t="n"/>
      <c r="R291" s="24" t="n">
        <v>8</v>
      </c>
      <c r="S291" s="24" t="n">
        <v>0.39</v>
      </c>
      <c r="T291" s="24" t="n">
        <v>1.38</v>
      </c>
      <c r="U291" s="24" t="n"/>
      <c r="V291" s="24" t="n"/>
      <c r="W291" s="24" t="n"/>
      <c r="X291" s="24" t="n"/>
    </row>
    <row r="292" ht="15" customHeight="1" s="19">
      <c r="A292" s="21" t="n">
        <v>291</v>
      </c>
      <c r="B292" s="21" t="inlineStr">
        <is>
          <t>Vial</t>
        </is>
      </c>
      <c r="C292" s="21" t="n">
        <v>4</v>
      </c>
      <c r="D292" s="21" t="inlineStr">
        <is>
          <t>Clear</t>
        </is>
      </c>
      <c r="E292" s="21" t="inlineStr">
        <is>
          <t>Dropper</t>
        </is>
      </c>
      <c r="F292" s="21" t="inlineStr">
        <is>
          <t>13-425</t>
        </is>
      </c>
      <c r="G292" s="21" t="inlineStr">
        <is>
          <t>4 ml Clear Vial Dropper Bottle</t>
        </is>
      </c>
      <c r="H292" s="21" t="inlineStr">
        <is>
          <t>Glass Bottle</t>
        </is>
      </c>
      <c r="I292" s="21" t="inlineStr">
        <is>
          <t>Vial</t>
        </is>
      </c>
      <c r="J292" s="21" t="inlineStr">
        <is>
          <t>vial-4ml-clear-13-425-dropper</t>
        </is>
      </c>
      <c r="K292" s="21" t="inlineStr">
        <is>
          <t>kh72v18c5nr02h33dykkn3xk6183je45</t>
        </is>
      </c>
      <c r="L292" s="21" t="inlineStr">
        <is>
          <t>GB-VIA-CLR-3ML-01</t>
        </is>
      </c>
      <c r="M292" s="21" t="inlineStr">
        <is>
          <t>GBV1DrmBlkDropper</t>
        </is>
      </c>
      <c r="N292" s="21" t="inlineStr">
        <is>
          <t>GBV1DrmBlkDropper, GBVAmb1DrmBlkDrpr, GBVBlu1DrmBlkDropper, GBVGr1DrmBlkDropper</t>
        </is>
      </c>
      <c r="O292" s="22" t="inlineStr">
        <is>
          <t>https://www.bestbottles.com/product/Vial-design-1-dram-clear-glass-black-dropper</t>
        </is>
      </c>
      <c r="P292" s="23" t="inlineStr">
        <is>
          <t>No</t>
        </is>
      </c>
      <c r="Q292" s="21" t="n"/>
      <c r="R292" s="21" t="n">
        <v>4</v>
      </c>
      <c r="S292" s="21" t="n">
        <v>0.8100000000000001</v>
      </c>
      <c r="T292" s="21" t="n">
        <v>1.95</v>
      </c>
      <c r="U292" s="21" t="n"/>
      <c r="V292" s="21" t="n"/>
      <c r="W292" s="21" t="n"/>
      <c r="X292" s="21" t="n"/>
    </row>
  </sheetData>
  <autoFilter ref="A1:X29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E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8" min="1" max="1"/>
    <col width="38" customWidth="1" style="18" min="2" max="2"/>
    <col width="18" customWidth="1" style="18" min="3" max="5"/>
  </cols>
  <sheetData>
    <row r="1" ht="19.7" customHeight="1" s="19">
      <c r="B1" s="31" t="inlineStr">
        <is>
          <t>Grid Image Tracker — Dashboard</t>
        </is>
      </c>
    </row>
    <row r="2" ht="15" customHeight="1" s="19">
      <c r="B2" s="32" t="inlineStr">
        <is>
          <t>Generated: 2026-04-06 | Live Convex + frontend-aligned applicator types</t>
        </is>
      </c>
    </row>
    <row r="4" ht="16.15" customHeight="1" s="19">
      <c r="B4" s="33" t="inlineStr">
        <is>
          <t>Summary Statistics</t>
        </is>
      </c>
    </row>
    <row r="5" ht="17.35" customHeight="1" s="19">
      <c r="B5" s="34" t="inlineStr">
        <is>
          <t>Total Glass Bottle Groups</t>
        </is>
      </c>
      <c r="C5" s="35">
        <f>COUNTA('Grid Image Tracker'!B2:B292)</f>
        <v/>
      </c>
    </row>
    <row r="6" ht="17.35" customHeight="1" s="19">
      <c r="B6" s="34" t="inlineStr">
        <is>
          <t>Groups with Hero Image</t>
        </is>
      </c>
      <c r="C6" s="35">
        <f>COUNTIF('Grid Image Tracker'!P2:P292,"Yes")</f>
        <v/>
      </c>
    </row>
    <row r="7" ht="17.35" customHeight="1" s="19">
      <c r="B7" s="34" t="inlineStr">
        <is>
          <t>Groups without Hero Image</t>
        </is>
      </c>
      <c r="C7" s="35">
        <f>COUNTIF('Grid Image Tracker'!P2:P292,"No")</f>
        <v/>
      </c>
    </row>
    <row r="8" ht="17.35" customHeight="1" s="19">
      <c r="B8" s="34" t="inlineStr">
        <is>
          <t>% Complete (Hero Images)</t>
        </is>
      </c>
      <c r="C8" s="35">
        <f>IF(C6&gt;0,C6/C5,"")</f>
        <v/>
      </c>
    </row>
    <row r="9" ht="17.35" customHeight="1" s="19">
      <c r="B9" s="34" t="inlineStr">
        <is>
          <t>Groups with Product URL</t>
        </is>
      </c>
      <c r="C9" s="36">
        <f>COUNTA('Grid Image Tracker'!O2:O292)</f>
        <v/>
      </c>
    </row>
    <row r="10" ht="17.35" customHeight="1" s="19">
      <c r="B10" s="34" t="inlineStr">
        <is>
          <t>Groups with Legacy SKUs</t>
        </is>
      </c>
      <c r="C10" s="35">
        <f>COUNTA('Grid Image Tracker'!N2:N292)</f>
        <v/>
      </c>
    </row>
    <row r="11" ht="17.35" customHeight="1" s="19">
      <c r="B11" s="34" t="inlineStr">
        <is>
          <t>Total Product Variants</t>
        </is>
      </c>
      <c r="C11" s="35">
        <f>SUM('Grid Image Tracker'!R2:R292)</f>
        <v/>
      </c>
    </row>
    <row r="13" ht="16.15" customHeight="1" s="19">
      <c r="B13" s="33" t="inlineStr">
        <is>
          <t>Generation Pipeline</t>
        </is>
      </c>
    </row>
    <row r="14" ht="17.35" customHeight="1" s="19">
      <c r="B14" s="34" t="inlineStr">
        <is>
          <t>Prompts Written</t>
        </is>
      </c>
      <c r="C14" s="35">
        <f>COUNTA('Grid Image Tracker'!U2:U292)</f>
        <v/>
      </c>
    </row>
    <row r="15" ht="17.35" customHeight="1" s="19">
      <c r="B15" s="34" t="inlineStr">
        <is>
          <t>Images Generated</t>
        </is>
      </c>
      <c r="C15" s="35">
        <f>COUNTA('Grid Image Tracker'!V2:V292)</f>
        <v/>
      </c>
    </row>
    <row r="16" ht="17.35" customHeight="1" s="19">
      <c r="B16" s="34" t="inlineStr">
        <is>
          <t>QA Passed</t>
        </is>
      </c>
      <c r="C16" s="35">
        <f>COUNTIF('Grid Image Tracker'!W2:W292,"Pass")</f>
        <v/>
      </c>
    </row>
    <row r="17" ht="17.35" customHeight="1" s="19">
      <c r="B17" s="34" t="inlineStr">
        <is>
          <t>QA Failed</t>
        </is>
      </c>
      <c r="C17" s="35">
        <f>COUNTIF('Grid Image Tracker'!W2:W292,"Fail")</f>
        <v/>
      </c>
    </row>
    <row r="19" ht="16.15" customHeight="1" s="19">
      <c r="B19" s="33" t="inlineStr">
        <is>
          <t>By Applicator Type</t>
        </is>
      </c>
    </row>
    <row r="20" ht="15" customHeight="1" s="19">
      <c r="B20" s="37" t="inlineStr">
        <is>
          <t>Applicator Type</t>
        </is>
      </c>
      <c r="C20" s="37" t="inlineStr">
        <is>
          <t>Total</t>
        </is>
      </c>
      <c r="D20" s="37" t="inlineStr">
        <is>
          <t>Has Hero</t>
        </is>
      </c>
      <c r="E20" s="37" t="inlineStr">
        <is>
          <t>Needs Image</t>
        </is>
      </c>
    </row>
    <row r="21" ht="17.35" customHeight="1" s="19">
      <c r="B21" s="34" t="inlineStr">
        <is>
          <t>Metal Roller Ball</t>
        </is>
      </c>
      <c r="C21" s="35">
        <f>COUNTIF('Grid Image Tracker'!E2:E292,"*Metal Roller Ball*")</f>
        <v/>
      </c>
      <c r="D21" s="35">
        <f>COUNTIFS('Grid Image Tracker'!E2:E292,"*Metal Roller Ball*",'Grid Image Tracker'!P2:P292,"Yes")</f>
        <v/>
      </c>
      <c r="E21" s="35">
        <f>C21-D21</f>
        <v/>
      </c>
    </row>
    <row r="22" ht="17.35" customHeight="1" s="19">
      <c r="B22" s="34" t="inlineStr">
        <is>
          <t>Plastic Roller Ball</t>
        </is>
      </c>
      <c r="C22" s="35">
        <f>COUNTIF('Grid Image Tracker'!E2:E292,"*Plastic Roller Ball*")</f>
        <v/>
      </c>
      <c r="D22" s="35">
        <f>COUNTIFS('Grid Image Tracker'!E2:E292,"*Plastic Roller Ball*",'Grid Image Tracker'!P2:P292,"Yes")</f>
        <v/>
      </c>
      <c r="E22" s="35">
        <f>C22-D22</f>
        <v/>
      </c>
    </row>
    <row r="23" ht="17.35" customHeight="1" s="19">
      <c r="B23" s="34" t="inlineStr">
        <is>
          <t>Fine Mist Sprayer</t>
        </is>
      </c>
      <c r="C23" s="35">
        <f>COUNTIF('Grid Image Tracker'!E2:E292,"*Fine Mist Sprayer*")</f>
        <v/>
      </c>
      <c r="D23" s="35">
        <f>COUNTIFS('Grid Image Tracker'!E2:E292,"*Fine Mist Sprayer*",'Grid Image Tracker'!P2:P292,"Yes")</f>
        <v/>
      </c>
      <c r="E23" s="35">
        <f>C23-D23</f>
        <v/>
      </c>
    </row>
    <row r="24" ht="17.35" customHeight="1" s="19">
      <c r="B24" s="34" t="inlineStr">
        <is>
          <t>Perfume Spray Pump</t>
        </is>
      </c>
      <c r="C24" s="35">
        <f>COUNTIF('Grid Image Tracker'!E2:E292,"*Perfume Spray Pump*")</f>
        <v/>
      </c>
      <c r="D24" s="35">
        <f>COUNTIFS('Grid Image Tracker'!E2:E292,"*Perfume Spray Pump*",'Grid Image Tracker'!P2:P292,"Yes")</f>
        <v/>
      </c>
      <c r="E24" s="35">
        <f>C24-D24</f>
        <v/>
      </c>
    </row>
    <row r="25" ht="17.35" customHeight="1" s="19">
      <c r="B25" s="34" t="inlineStr">
        <is>
          <t>Reducer</t>
        </is>
      </c>
      <c r="C25" s="35">
        <f>COUNTIF('Grid Image Tracker'!E2:E292,"*Reducer*")</f>
        <v/>
      </c>
      <c r="D25" s="35">
        <f>COUNTIFS('Grid Image Tracker'!E2:E292,"*Reducer*",'Grid Image Tracker'!P2:P292,"Yes")</f>
        <v/>
      </c>
      <c r="E25" s="35">
        <f>C25-D25</f>
        <v/>
      </c>
    </row>
    <row r="26" ht="17.35" customHeight="1" s="19">
      <c r="B26" s="34" t="inlineStr">
        <is>
          <t>Dropper</t>
        </is>
      </c>
      <c r="C26" s="35">
        <f>COUNTIF('Grid Image Tracker'!E2:E292,"*Dropper*")</f>
        <v/>
      </c>
      <c r="D26" s="35">
        <f>COUNTIFS('Grid Image Tracker'!E2:E292,"*Dropper*",'Grid Image Tracker'!P2:P292,"Yes")</f>
        <v/>
      </c>
      <c r="E26" s="35">
        <f>C26-D26</f>
        <v/>
      </c>
    </row>
    <row r="27" ht="17.35" customHeight="1" s="19">
      <c r="B27" s="34" t="inlineStr">
        <is>
          <t>Lotion Pump</t>
        </is>
      </c>
      <c r="C27" s="35">
        <f>COUNTIF('Grid Image Tracker'!E2:E292,"*Lotion Pump*")</f>
        <v/>
      </c>
      <c r="D27" s="35">
        <f>COUNTIFS('Grid Image Tracker'!E2:E292,"*Lotion Pump*",'Grid Image Tracker'!P2:P292,"Yes")</f>
        <v/>
      </c>
      <c r="E27" s="35">
        <f>C27-D27</f>
        <v/>
      </c>
    </row>
    <row r="28" ht="17.35" customHeight="1" s="19">
      <c r="B28" s="34" t="inlineStr">
        <is>
          <t>Vintage Bulb Sprayer</t>
        </is>
      </c>
      <c r="C28" s="35">
        <f>COUNTIF('Grid Image Tracker'!E2:E292,"*Vintage Bulb Sprayer*")</f>
        <v/>
      </c>
      <c r="D28" s="35">
        <f>COUNTIFS('Grid Image Tracker'!E2:E292,"*Vintage Bulb Sprayer*",'Grid Image Tracker'!P2:P292,"Yes")</f>
        <v/>
      </c>
      <c r="E28" s="35">
        <f>C28-D28</f>
        <v/>
      </c>
    </row>
    <row r="29" ht="17.35" customHeight="1" s="19">
      <c r="B29" s="34" t="inlineStr">
        <is>
          <t>Vintage Bulb Sprayer with Tassel</t>
        </is>
      </c>
      <c r="C29" s="35">
        <f>COUNTIF('Grid Image Tracker'!E2:E292,"*Vintage Bulb Sprayer with Tassel*")</f>
        <v/>
      </c>
      <c r="D29" s="35">
        <f>COUNTIFS('Grid Image Tracker'!E2:E292,"*Vintage Bulb Sprayer with Tassel*",'Grid Image Tracker'!P2:P292,"Yes")</f>
        <v/>
      </c>
      <c r="E29" s="35">
        <f>C29-D29</f>
        <v/>
      </c>
    </row>
    <row r="30" ht="17.35" customHeight="1" s="19">
      <c r="B30" s="34" t="inlineStr">
        <is>
          <t>Atomizer</t>
        </is>
      </c>
      <c r="C30" s="35">
        <f>COUNTIF('Grid Image Tracker'!E2:E292,"*Atomizer*")</f>
        <v/>
      </c>
      <c r="D30" s="35">
        <f>COUNTIFS('Grid Image Tracker'!E2:E292,"*Atomizer*",'Grid Image Tracker'!P2:P292,"Yes")</f>
        <v/>
      </c>
      <c r="E30" s="35">
        <f>C30-D30</f>
        <v/>
      </c>
    </row>
    <row r="31" ht="17.35" customHeight="1" s="19">
      <c r="B31" s="34" t="inlineStr">
        <is>
          <t>Glass Stopper</t>
        </is>
      </c>
      <c r="C31" s="35">
        <f>COUNTIF('Grid Image Tracker'!E2:E292,"*Glass Stopper*")</f>
        <v/>
      </c>
      <c r="D31" s="35">
        <f>COUNTIFS('Grid Image Tracker'!E2:E292,"*Glass Stopper*",'Grid Image Tracker'!P2:P292,"Yes")</f>
        <v/>
      </c>
      <c r="E31" s="35">
        <f>C31-D31</f>
        <v/>
      </c>
    </row>
    <row r="32" ht="17.35" customHeight="1" s="19">
      <c r="B32" s="34" t="inlineStr">
        <is>
          <t>Glass Rod</t>
        </is>
      </c>
      <c r="C32" s="35">
        <f>COUNTIF('Grid Image Tracker'!E2:E292,"*Glass Rod*")</f>
        <v/>
      </c>
      <c r="D32" s="35">
        <f>COUNTIFS('Grid Image Tracker'!E2:E292,"*Glass Rod*",'Grid Image Tracker'!P2:P292,"Yes")</f>
        <v/>
      </c>
      <c r="E32" s="35">
        <f>C32-D32</f>
        <v/>
      </c>
    </row>
    <row r="33" ht="17.35" customHeight="1" s="19">
      <c r="B33" s="34" t="inlineStr">
        <is>
          <t>Cap/Closure</t>
        </is>
      </c>
      <c r="C33" s="35">
        <f>COUNTIF('Grid Image Tracker'!E2:E292,"*Cap/Closure*")</f>
        <v/>
      </c>
      <c r="D33" s="35">
        <f>COUNTIFS('Grid Image Tracker'!E2:E292,"*Cap/Closure*",'Grid Image Tracker'!P2:P292,"Yes")</f>
        <v/>
      </c>
      <c r="E33" s="35">
        <f>C33-D33</f>
        <v/>
      </c>
    </row>
    <row r="35" ht="16.15" customHeight="1" s="19">
      <c r="B35" s="33" t="inlineStr">
        <is>
          <t>By Family</t>
        </is>
      </c>
    </row>
    <row r="36" ht="15" customHeight="1" s="19">
      <c r="B36" s="37" t="inlineStr">
        <is>
          <t>Family</t>
        </is>
      </c>
      <c r="C36" s="37" t="inlineStr">
        <is>
          <t>Total</t>
        </is>
      </c>
      <c r="D36" s="37" t="inlineStr">
        <is>
          <t>Has Hero</t>
        </is>
      </c>
      <c r="E36" s="37" t="inlineStr">
        <is>
          <t>Needs Image</t>
        </is>
      </c>
    </row>
    <row r="37" ht="17.35" customHeight="1" s="19">
      <c r="B37" s="34" t="inlineStr">
        <is>
          <t>Apothecary</t>
        </is>
      </c>
      <c r="C37" s="35">
        <f>COUNTIF('Grid Image Tracker'!B2:B292,"Apothecary")</f>
        <v/>
      </c>
      <c r="D37" s="35">
        <f>COUNTIFS('Grid Image Tracker'!B2:B292,"Apothecary",'Grid Image Tracker'!P2:P292,"Yes")</f>
        <v/>
      </c>
      <c r="E37" s="35">
        <f>C37-D37</f>
        <v/>
      </c>
    </row>
    <row r="38" ht="17.35" customHeight="1" s="19">
      <c r="B38" s="34" t="inlineStr">
        <is>
          <t>Bell</t>
        </is>
      </c>
      <c r="C38" s="35">
        <f>COUNTIF('Grid Image Tracker'!B2:B292,"Bell")</f>
        <v/>
      </c>
      <c r="D38" s="35">
        <f>COUNTIFS('Grid Image Tracker'!B2:B292,"Bell",'Grid Image Tracker'!P2:P292,"Yes")</f>
        <v/>
      </c>
      <c r="E38" s="35">
        <f>C38-D38</f>
        <v/>
      </c>
    </row>
    <row r="39" ht="17.35" customHeight="1" s="19">
      <c r="B39" s="34" t="inlineStr">
        <is>
          <t>Boston Round</t>
        </is>
      </c>
      <c r="C39" s="35">
        <f>COUNTIF('Grid Image Tracker'!B2:B292,"Boston Round")</f>
        <v/>
      </c>
      <c r="D39" s="35">
        <f>COUNTIFS('Grid Image Tracker'!B2:B292,"Boston Round",'Grid Image Tracker'!P2:P292,"Yes")</f>
        <v/>
      </c>
      <c r="E39" s="35">
        <f>C39-D39</f>
        <v/>
      </c>
    </row>
    <row r="40" ht="17.35" customHeight="1" s="19">
      <c r="B40" s="34" t="inlineStr">
        <is>
          <t>Circle</t>
        </is>
      </c>
      <c r="C40" s="35">
        <f>COUNTIF('Grid Image Tracker'!B2:B292,"Circle")</f>
        <v/>
      </c>
      <c r="D40" s="35">
        <f>COUNTIFS('Grid Image Tracker'!B2:B292,"Circle",'Grid Image Tracker'!P2:P292,"Yes")</f>
        <v/>
      </c>
      <c r="E40" s="35">
        <f>C40-D40</f>
        <v/>
      </c>
    </row>
    <row r="41" ht="17.35" customHeight="1" s="19">
      <c r="B41" s="34" t="inlineStr">
        <is>
          <t>Cylinder</t>
        </is>
      </c>
      <c r="C41" s="35">
        <f>COUNTIF('Grid Image Tracker'!B2:B292,"Cylinder")</f>
        <v/>
      </c>
      <c r="D41" s="35">
        <f>COUNTIFS('Grid Image Tracker'!B2:B292,"Cylinder",'Grid Image Tracker'!P2:P292,"Yes")</f>
        <v/>
      </c>
      <c r="E41" s="35">
        <f>C41-D41</f>
        <v/>
      </c>
    </row>
    <row r="42" ht="17.35" customHeight="1" s="19">
      <c r="B42" s="34" t="inlineStr">
        <is>
          <t>Decorative</t>
        </is>
      </c>
      <c r="C42" s="35">
        <f>COUNTIF('Grid Image Tracker'!B2:B292,"Decorative")</f>
        <v/>
      </c>
      <c r="D42" s="35">
        <f>COUNTIFS('Grid Image Tracker'!B2:B292,"Decorative",'Grid Image Tracker'!P2:P292,"Yes")</f>
        <v/>
      </c>
      <c r="E42" s="35">
        <f>C42-D42</f>
        <v/>
      </c>
    </row>
    <row r="43" ht="17.35" customHeight="1" s="19">
      <c r="B43" s="34" t="inlineStr">
        <is>
          <t>Diamond</t>
        </is>
      </c>
      <c r="C43" s="35">
        <f>COUNTIF('Grid Image Tracker'!B2:B292,"Diamond")</f>
        <v/>
      </c>
      <c r="D43" s="35">
        <f>COUNTIFS('Grid Image Tracker'!B2:B292,"Diamond",'Grid Image Tracker'!P2:P292,"Yes")</f>
        <v/>
      </c>
      <c r="E43" s="35">
        <f>C43-D43</f>
        <v/>
      </c>
    </row>
    <row r="44" ht="17.35" customHeight="1" s="19">
      <c r="B44" s="34" t="inlineStr">
        <is>
          <t>Diva</t>
        </is>
      </c>
      <c r="C44" s="35">
        <f>COUNTIF('Grid Image Tracker'!B2:B292,"Diva")</f>
        <v/>
      </c>
      <c r="D44" s="35">
        <f>COUNTIFS('Grid Image Tracker'!B2:B292,"Diva",'Grid Image Tracker'!P2:P292,"Yes")</f>
        <v/>
      </c>
      <c r="E44" s="35">
        <f>C44-D44</f>
        <v/>
      </c>
    </row>
    <row r="45" ht="17.35" customHeight="1" s="19">
      <c r="B45" s="34" t="inlineStr">
        <is>
          <t>Elegant</t>
        </is>
      </c>
      <c r="C45" s="35">
        <f>COUNTIF('Grid Image Tracker'!B2:B292,"Elegant")</f>
        <v/>
      </c>
      <c r="D45" s="35">
        <f>COUNTIFS('Grid Image Tracker'!B2:B292,"Elegant",'Grid Image Tracker'!P2:P292,"Yes")</f>
        <v/>
      </c>
      <c r="E45" s="35">
        <f>C45-D45</f>
        <v/>
      </c>
    </row>
    <row r="46" ht="17.35" customHeight="1" s="19">
      <c r="B46" s="34" t="inlineStr">
        <is>
          <t>Empire</t>
        </is>
      </c>
      <c r="C46" s="35">
        <f>COUNTIF('Grid Image Tracker'!B2:B292,"Empire")</f>
        <v/>
      </c>
      <c r="D46" s="35">
        <f>COUNTIFS('Grid Image Tracker'!B2:B292,"Empire",'Grid Image Tracker'!P2:P292,"Yes")</f>
        <v/>
      </c>
      <c r="E46" s="35">
        <f>C46-D46</f>
        <v/>
      </c>
    </row>
    <row r="47" ht="17.35" customHeight="1" s="19">
      <c r="B47" s="34" t="inlineStr">
        <is>
          <t>Flair</t>
        </is>
      </c>
      <c r="C47" s="35">
        <f>COUNTIF('Grid Image Tracker'!B2:B292,"Flair")</f>
        <v/>
      </c>
      <c r="D47" s="35">
        <f>COUNTIFS('Grid Image Tracker'!B2:B292,"Flair",'Grid Image Tracker'!P2:P292,"Yes")</f>
        <v/>
      </c>
      <c r="E47" s="35">
        <f>C47-D47</f>
        <v/>
      </c>
    </row>
    <row r="48" ht="17.35" customHeight="1" s="19">
      <c r="B48" s="34" t="inlineStr">
        <is>
          <t>Grace</t>
        </is>
      </c>
      <c r="C48" s="35">
        <f>COUNTIF('Grid Image Tracker'!B2:B292,"Grace")</f>
        <v/>
      </c>
      <c r="D48" s="35">
        <f>COUNTIFS('Grid Image Tracker'!B2:B292,"Grace",'Grid Image Tracker'!P2:P292,"Yes")</f>
        <v/>
      </c>
      <c r="E48" s="35">
        <f>C48-D48</f>
        <v/>
      </c>
    </row>
    <row r="49" ht="17.35" customHeight="1" s="19">
      <c r="B49" s="34" t="inlineStr">
        <is>
          <t>Lotion Bottle</t>
        </is>
      </c>
      <c r="C49" s="35">
        <f>COUNTIF('Grid Image Tracker'!B2:B292,"Lotion Bottle")</f>
        <v/>
      </c>
      <c r="D49" s="35">
        <f>COUNTIFS('Grid Image Tracker'!B2:B292,"Lotion Bottle",'Grid Image Tracker'!P2:P292,"Yes")</f>
        <v/>
      </c>
      <c r="E49" s="35">
        <f>C49-D49</f>
        <v/>
      </c>
    </row>
    <row r="50" ht="17.35" customHeight="1" s="19">
      <c r="B50" s="34" t="inlineStr">
        <is>
          <t>Pillar</t>
        </is>
      </c>
      <c r="C50" s="35">
        <f>COUNTIF('Grid Image Tracker'!B2:B292,"Pillar")</f>
        <v/>
      </c>
      <c r="D50" s="35">
        <f>COUNTIFS('Grid Image Tracker'!B2:B292,"Pillar",'Grid Image Tracker'!P2:P292,"Yes")</f>
        <v/>
      </c>
      <c r="E50" s="35">
        <f>C50-D50</f>
        <v/>
      </c>
    </row>
    <row r="51" ht="17.35" customHeight="1" s="19">
      <c r="B51" s="34" t="inlineStr">
        <is>
          <t>Rectangle</t>
        </is>
      </c>
      <c r="C51" s="35">
        <f>COUNTIF('Grid Image Tracker'!B2:B292,"Rectangle")</f>
        <v/>
      </c>
      <c r="D51" s="35">
        <f>COUNTIFS('Grid Image Tracker'!B2:B292,"Rectangle",'Grid Image Tracker'!P2:P292,"Yes")</f>
        <v/>
      </c>
      <c r="E51" s="35">
        <f>C51-D51</f>
        <v/>
      </c>
    </row>
    <row r="52" ht="17.35" customHeight="1" s="19">
      <c r="B52" s="34" t="inlineStr">
        <is>
          <t>Round</t>
        </is>
      </c>
      <c r="C52" s="35">
        <f>COUNTIF('Grid Image Tracker'!B2:B292,"Round")</f>
        <v/>
      </c>
      <c r="D52" s="35">
        <f>COUNTIFS('Grid Image Tracker'!B2:B292,"Round",'Grid Image Tracker'!P2:P292,"Yes")</f>
        <v/>
      </c>
      <c r="E52" s="35">
        <f>C52-D52</f>
        <v/>
      </c>
    </row>
    <row r="53" ht="17.35" customHeight="1" s="19">
      <c r="B53" s="34" t="inlineStr">
        <is>
          <t>Royal</t>
        </is>
      </c>
      <c r="C53" s="35">
        <f>COUNTIF('Grid Image Tracker'!B2:B292,"Royal")</f>
        <v/>
      </c>
      <c r="D53" s="35">
        <f>COUNTIFS('Grid Image Tracker'!B2:B292,"Royal",'Grid Image Tracker'!P2:P292,"Yes")</f>
        <v/>
      </c>
      <c r="E53" s="35">
        <f>C53-D53</f>
        <v/>
      </c>
    </row>
    <row r="54" ht="17.35" customHeight="1" s="19">
      <c r="B54" s="34" t="inlineStr">
        <is>
          <t>Sleek</t>
        </is>
      </c>
      <c r="C54" s="35">
        <f>COUNTIF('Grid Image Tracker'!B2:B292,"Sleek")</f>
        <v/>
      </c>
      <c r="D54" s="35">
        <f>COUNTIFS('Grid Image Tracker'!B2:B292,"Sleek",'Grid Image Tracker'!P2:P292,"Yes")</f>
        <v/>
      </c>
      <c r="E54" s="35">
        <f>C54-D54</f>
        <v/>
      </c>
    </row>
    <row r="55" ht="17.35" customHeight="1" s="19">
      <c r="B55" s="34" t="inlineStr">
        <is>
          <t>Slim</t>
        </is>
      </c>
      <c r="C55" s="35">
        <f>COUNTIF('Grid Image Tracker'!B2:B292,"Slim")</f>
        <v/>
      </c>
      <c r="D55" s="35">
        <f>COUNTIFS('Grid Image Tracker'!B2:B292,"Slim",'Grid Image Tracker'!P2:P292,"Yes")</f>
        <v/>
      </c>
      <c r="E55" s="35">
        <f>C55-D55</f>
        <v/>
      </c>
    </row>
    <row r="56" ht="17.35" customHeight="1" s="19">
      <c r="B56" s="34" t="inlineStr">
        <is>
          <t>Square</t>
        </is>
      </c>
      <c r="C56" s="35">
        <f>COUNTIF('Grid Image Tracker'!B2:B292,"Square")</f>
        <v/>
      </c>
      <c r="D56" s="35">
        <f>COUNTIFS('Grid Image Tracker'!B2:B292,"Square",'Grid Image Tracker'!P2:P292,"Yes")</f>
        <v/>
      </c>
      <c r="E56" s="35">
        <f>C56-D56</f>
        <v/>
      </c>
    </row>
    <row r="57" ht="17.35" customHeight="1" s="19">
      <c r="B57" s="34" t="inlineStr">
        <is>
          <t>Teardrop</t>
        </is>
      </c>
      <c r="C57" s="35">
        <f>COUNTIF('Grid Image Tracker'!B2:B292,"Teardrop")</f>
        <v/>
      </c>
      <c r="D57" s="35">
        <f>COUNTIFS('Grid Image Tracker'!B2:B292,"Teardrop",'Grid Image Tracker'!P2:P292,"Yes")</f>
        <v/>
      </c>
      <c r="E57" s="35">
        <f>C57-D57</f>
        <v/>
      </c>
    </row>
    <row r="58" ht="17.35" customHeight="1" s="19">
      <c r="B58" s="34" t="inlineStr">
        <is>
          <t>Tulip</t>
        </is>
      </c>
      <c r="C58" s="35">
        <f>COUNTIF('Grid Image Tracker'!B2:B292,"Tulip")</f>
        <v/>
      </c>
      <c r="D58" s="35">
        <f>COUNTIFS('Grid Image Tracker'!B2:B292,"Tulip",'Grid Image Tracker'!P2:P292,"Yes")</f>
        <v/>
      </c>
      <c r="E58" s="35">
        <f>C58-D58</f>
        <v/>
      </c>
    </row>
    <row r="59" ht="17.35" customHeight="1" s="19">
      <c r="B59" s="34" t="inlineStr">
        <is>
          <t>Vial</t>
        </is>
      </c>
      <c r="C59" s="35">
        <f>COUNTIF('Grid Image Tracker'!B2:B292,"Vial")</f>
        <v/>
      </c>
      <c r="D59" s="35">
        <f>COUNTIFS('Grid Image Tracker'!B2:B292,"Vial",'Grid Image Tracker'!P2:P292,"Yes")</f>
        <v/>
      </c>
      <c r="E59" s="35">
        <f>C59-D59</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18" min="1" max="1"/>
    <col width="12" customWidth="1" style="18" min="2" max="2"/>
    <col width="14" customWidth="1" style="18" min="3" max="3"/>
    <col width="14" customWidth="1" style="18" min="4" max="4"/>
    <col width="18" customWidth="1" style="18" min="5" max="5"/>
    <col width="80" customWidth="1" style="18" min="6" max="6"/>
    <col width="14" customWidth="1" style="18" min="7" max="7"/>
    <col width="14" customWidth="1" style="18" min="8" max="8"/>
    <col width="10" customWidth="1" style="18" min="9" max="9"/>
    <col width="25" customWidth="1" style="18" min="10" max="10"/>
    <col width="30" customWidth="1" style="18" min="11" max="11"/>
  </cols>
  <sheetData>
    <row r="1" ht="15" customHeight="1" s="19">
      <c r="A1" s="38" t="inlineStr">
        <is>
          <t>#</t>
        </is>
      </c>
      <c r="B1" s="38" t="inlineStr">
        <is>
          <t>Family</t>
        </is>
      </c>
      <c r="C1" s="38" t="inlineStr">
        <is>
          <t>Capacity (ml)</t>
        </is>
      </c>
      <c r="D1" s="38" t="inlineStr">
        <is>
          <t>Glass Color</t>
        </is>
      </c>
      <c r="E1" s="38" t="inlineStr">
        <is>
          <t>Applicator Type</t>
        </is>
      </c>
      <c r="F1" s="38" t="inlineStr">
        <is>
          <t>Prompt Text</t>
        </is>
      </c>
      <c r="G1" s="38" t="inlineStr">
        <is>
          <t>Gen Tool</t>
        </is>
      </c>
      <c r="H1" s="38" t="inlineStr">
        <is>
          <t>Thinking Level</t>
        </is>
      </c>
      <c r="I1" s="38" t="inlineStr">
        <is>
          <t>Attempts</t>
        </is>
      </c>
      <c r="J1" s="38" t="inlineStr">
        <is>
          <t>Best Result URL</t>
        </is>
      </c>
      <c r="K1" s="38" t="inlineStr">
        <is>
          <t>Notes</t>
        </is>
      </c>
    </row>
    <row r="2">
      <c r="A2" s="39" t="n">
        <v>1</v>
      </c>
      <c r="B2" s="39" t="inlineStr">
        <is>
          <t>Cylinder</t>
        </is>
      </c>
      <c r="C2" s="39" t="n">
        <v>5</v>
      </c>
      <c r="D2" s="39" t="inlineStr">
        <is>
          <t>Clear</t>
        </is>
      </c>
      <c r="E2" s="39" t="inlineStr">
        <is>
          <t>Fine Mist Sprayer</t>
        </is>
      </c>
      <c r="F2" s="39" t="inlineStr">
        <is>
          <t>Professional e-commerce product photograph of a tall, slender clear glass 5ml cylinder fine mist spray bottle shown WITHOUT its overcap. The overcap is placed standing upright beside the bottle on the right side, revealing the spray mechanism.
EXACT BOTTLE SHAPE: Tall, slender cylinder spray bottle. The glass body height-to-width ratio is approximately 3.2:1. The body is a perfect cylinder with absolutely straight parallel sides — no taper, no bulge, no curves, no waist. Flat bottom sits flush on the stone surface. The spray mechanism extends above the glass body, adding about 22% to the total height. With the sprayer exposed (no overcap), the total height-to-body-width ratio is approximately 4.2:1. The bottle is EMPTY — no liquid inside.
SPRAY MECHANISM — critical detail: The fine mist spray pump is FULLY COLORED — the entire mechanism is a single solid matte black finish. This is NOT a white sprayer with a colored band — the actuator button, the collar, the tube housing are ALL matte black. The spray nozzle points upward. The mechanism sits flush with the glass body diameter. A thin dip tube extends down inside the bottle (barely visible through the clear glass).
GLASS / MATERIAL: Crystal clear transparent glass with subtle refractive quality. Perfectly transparent. Thin dark outlines visible at glass edges where light refracts through cylindrical walls. No cloudiness, no bubbles, no imperfections. Premium optical clarity. EMPTY — no liquid fill.
OVERCAP PLACEMENT: The overcap is placed standing upright on the stone pedestal, to the RIGHT of the bottle and slightly forward. There is a small gap between the bottle and the overcap. The overcap is a tall cylindrical shell in matte black finish — approximately the same height as the spray mechanism portion. The overcap opening faces downward (it sits inverted, dome/top facing up). The overcap diameter matches the bottle body diameter.
PEDESTAL: Dark slate gray polished stone slab. Matte finish with subtle surface texture. Slab is wide enough to hold both the bottle and the overcap side by side. Low-profile slab thickness. Both bottle and overcap sit on the stone surface.
COMPOSITION: The bottle is centered-left in frame, overcap to the right. 2000x2200px portrait format. The tall bottle occupies 65-70% of canvas height. Breathing room above and below. No other props, no labels, no text.
LIGHTING - CHIAROSCURO STUDIO:
- Key Light: 45 degree angle upper left, 6200K color temperature, strong directional illumination on the left side of the glass cylinder
- Rim Light: Subtle backlight from upper right, thin bright rim along right edge of glass, reveals translucency
- Fill Light: 60% intensity from camera left, softens shadows
- Shadow: Long soft shadow extending from bottle base across stone surface, feathered edge
BACKGROUND: Warm cream color (#F5F3EF) — uniform, soft, no gradients. Seamless backdrop.
STYLE: Premium luxury product photography. Photorealistic. Studio-lit precision. Immaculate.
CRITICAL CONSTRAINTS:
- The bottle body is approximately 3.2:1 H:W ratio — shorter and slightly wider than the 9ml cylinder
- The spray mechanism is FULLY MATTE BLACK — not white with a band
- The overcap must be SEPARATE from the bottle, placed beside it on the right
- The spray nozzle/actuator must be clearly visible on the uncapped bottle
- No liquid inside the bottle — completely empty
- Do NOT say perfume, spray, or fragrance in any text — this is a product photograph only
- The overall silhouette should be a compact, elegant spray bottle — shorter than a 9ml roll-on</t>
        </is>
      </c>
      <c r="G2" s="39" t="inlineStr">
        <is>
          <t>Nano Banana Pro</t>
        </is>
      </c>
      <c r="H2" s="39" t="inlineStr">
        <is>
          <t>High</t>
        </is>
      </c>
      <c r="I2" s="39" t="n">
        <v>0</v>
      </c>
      <c r="J2" s="39" t="inlineStr"/>
      <c r="K2" s="39" t="inlineStr">
        <is>
          <t>Cap-off series: overcap beside bottle on stone pedestal. Cream bg #F5F3EF. 2000x2200 portrait. Fully colored matte black spray mechanism. Measured body H:W 3.24:1, assembled 4.39:1.</t>
        </is>
      </c>
    </row>
    <row r="3">
      <c r="A3" s="39" t="n">
        <v>2</v>
      </c>
      <c r="B3" s="39" t="inlineStr">
        <is>
          <t>Cylinder</t>
        </is>
      </c>
      <c r="C3" s="39" t="n">
        <v>5</v>
      </c>
      <c r="D3" s="39" t="inlineStr">
        <is>
          <t>Cobalt Blue</t>
        </is>
      </c>
      <c r="E3" s="39" t="inlineStr">
        <is>
          <t>Fine Mist Sprayer</t>
        </is>
      </c>
      <c r="F3" s="39" t="inlineStr">
        <is>
          <t>Professional e-commerce product photograph of a tall, slender cobalt blue glass 5ml cylinder fine mist spray bottle shown WITHOUT its overcap. The overcap is placed standing upright beside the bottle on the right side, revealing the spray mechanism.
EXACT BOTTLE SHAPE: Tall, slender cylinder spray bottle. The glass body height-to-width ratio is approximately 3.1:1. The body is a perfect cylinder with absolutely straight parallel sides — no taper, no bulge, no curves, no waist. Flat bottom sits flush on the stone surface. The spray mechanism extends above the glass body, adding about 22% to the total height. With the sprayer exposed (no overcap), the total height-to-body-width ratio is approximately 4.2:1. The bottle is EMPTY — no liquid inside.
SPRAY MECHANISM — critical detail: The fine mist spray pump is FULLY COLORED — the entire mechanism is a single solid shiny silver finish. This is NOT a white sprayer with a colored band — the actuator button, the collar, the tube housing are ALL shiny silver metallic. The spray nozzle points upward. The mechanism sits flush with the glass body diameter. A thin dip tube extends down inside the bottle (barely visible through the deep blue glass).
GLASS / MATERIAL: Deep saturated cobalt blue glass — a rich, vivid royal blue. The glass is transparent with the intense blue visible from every angle. Light refracts through showing deep blue tones. The blue color is uniform and saturated throughout the glass walls. No cloudiness, no bubbles, no imperfections. Premium optical clarity. EMPTY — no liquid fill.
OVERCAP PLACEMENT: The overcap is placed standing upright on the stone pedestal, to the RIGHT of the bottle and slightly forward. There is a small gap between the bottle and the overcap. The overcap is a tall cylindrical shell in shiny silver metallic finish — approximately the same height as the spray mechanism portion. The overcap opening faces downward (it sits inverted, dome/top facing up). The overcap diameter matches the bottle body diameter.
PEDESTAL: Dark slate gray polished stone slab. Matte finish with subtle surface texture. Slab is wide enough to hold both the bottle and the overcap side by side. Low-profile slab thickness. Both bottle and overcap sit on the stone surface.
COMPOSITION: The bottle is centered-left in frame, overcap to the right. 2000x2200px portrait format. The tall bottle occupies 65-70% of canvas height. Breathing room above and below. No other props, no labels, no text.
LIGHTING - CHIAROSCURO STUDIO:
- Key Light: 45 degree angle upper left, 6200K color temperature, strong directional illumination on the left side of the glass cylinder
- Rim Light: Subtle backlight from upper right, thin bright rim along right edge of glass, makes the cobalt blue glow
- Fill Light: 60% intensity from camera left, softens shadows
- Shadow: Long soft shadow extending from bottle base across stone surface, feathered edge
BACKGROUND: Warm cream color (#F5F3EF) — uniform, soft, no gradients. Seamless backdrop.
STYLE: Premium luxury product photography. Photorealistic. Studio-lit precision. Immaculate.
CRITICAL CONSTRAINTS:
- The bottle body is approximately 3.1:1 H:W ratio — shorter and slightly wider than the 9ml cylinder
- The spray mechanism is FULLY SHINY SILVER — not white with a band
- The overcap must be SEPARATE from the bottle, placed beside it on the right
- The spray nozzle/actuator must be clearly visible on the uncapped bottle
- The cobalt blue glass must be vivid and saturated — not pale or washed out
- No liquid inside the bottle — completely empty
- Do NOT say perfume, spray, or fragrance in any text — this is a product photograph only
- The overall silhouette should be a compact, elegant spray bottle — shorter than a 9ml roll-on</t>
        </is>
      </c>
      <c r="G3" s="39" t="inlineStr">
        <is>
          <t>Nano Banana Pro</t>
        </is>
      </c>
      <c r="H3" s="39" t="inlineStr">
        <is>
          <t>High</t>
        </is>
      </c>
      <c r="I3" s="39" t="n">
        <v>0</v>
      </c>
      <c r="J3" s="39" t="inlineStr"/>
      <c r="K3" s="39" t="inlineStr">
        <is>
          <t>Cap-off series: overcap beside bottle on stone pedestal. Cream bg #F5F3EF. 2000x2200 portrait. Fully colored shiny silver spray mechanism. Measured body H:W 3.1:1, assembled 4.39:1.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8" min="1" max="1"/>
    <col width="60" customWidth="1" style="18" min="2" max="2"/>
    <col width="40" customWidth="1" style="18" min="3" max="3"/>
    <col width="50" customWidth="1" style="18" min="4" max="4"/>
  </cols>
  <sheetData>
    <row r="1" ht="19.7" customHeight="1" s="19">
      <c r="B1" s="31" t="inlineStr">
        <is>
          <t>Gaps, Issues &amp; Notes</t>
        </is>
      </c>
    </row>
    <row r="3" ht="16.15" customHeight="1" s="19">
      <c r="B3" s="33" t="inlineStr">
        <is>
          <t>Known Gaps</t>
        </is>
      </c>
    </row>
    <row r="4" ht="15" customHeight="1" s="19">
      <c r="B4" s="40" t="inlineStr">
        <is>
          <t>Issue Type</t>
        </is>
      </c>
      <c r="C4" s="40" t="inlineStr">
        <is>
          <t>Details</t>
        </is>
      </c>
      <c r="D4" s="40" t="inlineStr">
        <is>
          <t>Resolution</t>
        </is>
      </c>
    </row>
    <row r="5" ht="15" customHeight="1" s="19">
      <c r="B5" s="41" t="inlineStr">
        <is>
          <t>Missing Product Group</t>
        </is>
      </c>
      <c r="C5" s="42" t="inlineStr">
        <is>
          <t>Pillar 9ml Clear Roll-On (13-415)</t>
        </is>
      </c>
      <c r="D5" s="42" t="inlineStr">
        <is>
          <t>addProductGroup mutation ready, needs npx convex deploy</t>
        </is>
      </c>
    </row>
    <row r="6" ht="15" customHeight="1" s="19">
      <c r="B6" s="41" t="inlineStr">
        <is>
          <t>Missing Product Group</t>
        </is>
      </c>
      <c r="C6" s="42" t="inlineStr">
        <is>
          <t>Cylinder 30ml Clear Roll-On (18-415)</t>
        </is>
      </c>
      <c r="D6" s="42" t="inlineStr">
        <is>
          <t>addProductGroup mutation ready, needs npx convex deploy</t>
        </is>
      </c>
    </row>
    <row r="7" ht="23.85" customHeight="1" s="19">
      <c r="B7" s="41" t="inlineStr">
        <is>
          <t>Misassigned Products</t>
        </is>
      </c>
      <c r="C7" s="42" t="inlineStr">
        <is>
          <t>GB-PIL-CLR-9ML-MRL-BDOT, GB-PIL-CLR-9ML-RBL-BDOT</t>
        </is>
      </c>
      <c r="D7" s="42" t="inlineStr">
        <is>
          <t>Roll-on products in cap group; reassign after new group created</t>
        </is>
      </c>
    </row>
    <row r="8" ht="15" customHeight="1" s="19">
      <c r="B8" s="41" t="inlineStr">
        <is>
          <t>Applicator Fix Applied</t>
        </is>
      </c>
      <c r="C8" s="42" t="inlineStr">
        <is>
          <t>92 groups patched (2026-04-06)</t>
        </is>
      </c>
      <c r="D8" s="42" t="inlineStr">
        <is>
          <t>Aligned to frontend APPLICATOR_BUCKETS productValues</t>
        </is>
      </c>
    </row>
    <row r="10" ht="16.15" customHeight="1" s="19">
      <c r="B10" s="33" t="inlineStr">
        <is>
          <t>Pipeline UI Integration</t>
        </is>
      </c>
    </row>
    <row r="11" ht="23.85" customHeight="1" s="19">
      <c r="B11" s="42" t="inlineStr">
        <is>
          <t>• Pipeline UI app: AI-OS/paper-doll-pipeline/tools/pipeline-ui/ (npm run dev)</t>
        </is>
      </c>
    </row>
    <row r="12" ht="23.85" customHeight="1" s="19">
      <c r="B12" s="42" t="inlineStr">
        <is>
          <t>• Reads from: /Users/jordanrichter/Desktop/AI-OS/paper-doll-pipeline/output/</t>
        </is>
      </c>
    </row>
    <row r="13" ht="15" customHeight="1" s="19">
      <c r="B13" s="42" t="inlineStr">
        <is>
          <t>• API routes: /api/inventory, /api/families, /api/gallery, /api/images</t>
        </is>
      </c>
    </row>
    <row r="14" ht="23.85" customHeight="1" s="19">
      <c r="B14" s="42" t="inlineStr">
        <is>
          <t>• Gallery tracks generation modes: sandstone, grid, cap-off, heroes, composited</t>
        </is>
      </c>
    </row>
    <row r="15" ht="23.85" customHeight="1" s="19">
      <c r="B15" s="42" t="inlineStr">
        <is>
          <t>• Pipeline UI is for Paper Doll (Layer 3) — this tracker is for Grid Images (Layer 1)</t>
        </is>
      </c>
    </row>
    <row r="16" ht="23.85" customHeight="1" s="19">
      <c r="B16" s="42" t="inlineStr">
        <is>
          <t>• Grid images upload to Sanity CDN → heroImageUrl on Convex productGroups</t>
        </is>
      </c>
    </row>
    <row r="18" ht="16.15" customHeight="1" s="19">
      <c r="B18" s="33" t="inlineStr">
        <is>
          <t>Data Quality Notes</t>
        </is>
      </c>
    </row>
    <row r="19" ht="23.85" customHeight="1" s="19">
      <c r="B19" s="42" t="inlineStr">
        <is>
          <t>• applicatorTypes aligned to frontend catalogFilters.ts APPLICATOR_BUCKETS productValues (2026-04-06)</t>
        </is>
      </c>
    </row>
    <row r="20" ht="23.85" customHeight="1" s="19">
      <c r="B20" s="42" t="inlineStr">
        <is>
          <t>• Multi-value groups: Roll-On groups may have ["Metal Roller Ball","Plastic Roller Ball"]</t>
        </is>
      </c>
    </row>
    <row r="21" ht="23.85" customHeight="1" s="19">
      <c r="B21" s="42" t="inlineStr">
        <is>
          <t>• Dashboard uses COUNTIF with wildcards (*value*) to handle multi-value applicator cells</t>
        </is>
      </c>
    </row>
    <row r="22" ht="15" customHeight="1" s="19">
      <c r="B22" s="42" t="inlineStr">
        <is>
          <t>• 31 groups have heroImageUrl from prior work; 260 need AI generation</t>
        </is>
      </c>
    </row>
    <row r="23" ht="23.85" customHeight="1" s="19">
      <c r="B23" s="42" t="inlineStr">
        <is>
          <t>• 249 of 291 glass groups have product URLs; 249 have legacy website SKUs</t>
        </is>
      </c>
    </row>
    <row r="24" ht="23.85" customHeight="1" s="19">
      <c r="B24" s="42" t="inlineStr">
        <is>
          <t>• PSD reference images: 4,424 files in AI-OS/clients/best-bottles/Bestbottles Reference Images/</t>
        </is>
      </c>
    </row>
    <row r="25" ht="46.25" customHeight="1" s="19">
      <c r="B25" s="42" t="inlineStr">
        <is>
          <t>• Frontend CatalogGroup interface fields: _id, slug, displayName, family, capacity, capacityMl, color, category, bottleCollection, neckThreadSize, variantCount, priceRangeMin, priceRangeMax, heroImageUrl, applicatorTypes</t>
        </is>
      </c>
    </row>
    <row r="26" ht="15" customHeight="1" s="19">
      <c r="B26" s="42" t="inlineStr">
        <is>
          <t>• All 15 frontend fields now present in tracker columns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2026-04-06T21:44:26Z</dcterms:created>
  <dcterms:modified xmlns:dcterms="http://purl.org/dc/terms/" xmlns:xsi="http://www.w3.org/2001/XMLSchema-instance" xsi:type="dcterms:W3CDTF">2026-04-08T20:40:07Z</dcterms:modified>
  <cp:revision>0</cp:revision>
</cp:coreProperties>
</file>